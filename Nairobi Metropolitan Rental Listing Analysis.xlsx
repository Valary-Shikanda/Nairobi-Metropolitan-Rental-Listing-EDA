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VALARY\Desktop\My Projects\"/>
    </mc:Choice>
  </mc:AlternateContent>
  <xr:revisionPtr revIDLastSave="0" documentId="13_ncr:1_{1BB88D9B-3243-4945-A41D-BD139F231D16}" xr6:coauthVersionLast="47" xr6:coauthVersionMax="47" xr10:uidLastSave="{00000000-0000-0000-0000-000000000000}"/>
  <bookViews>
    <workbookView xWindow="-120" yWindow="-120" windowWidth="20730" windowHeight="11160" activeTab="3" xr2:uid="{206A8A46-170D-4D0A-A982-8C83EF6877F8}"/>
  </bookViews>
  <sheets>
    <sheet name="Raw_Data" sheetId="1" r:id="rId1"/>
    <sheet name="Clean_Data" sheetId="2" r:id="rId2"/>
    <sheet name="Analysis" sheetId="3" r:id="rId3"/>
    <sheet name="Dashboard" sheetId="5" r:id="rId4"/>
    <sheet name="Insights" sheetId="7" r:id="rId5"/>
  </sheets>
  <definedNames>
    <definedName name="Slicer_Bedrooms">#N/A</definedName>
    <definedName name="Slicer_Neighbourhood">#N/A</definedName>
    <definedName name="Slicer_Property_Typ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2" i="2" l="1"/>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K23" i="3"/>
  <c r="K24" i="3"/>
  <c r="K25" i="3"/>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K22" i="3"/>
</calcChain>
</file>

<file path=xl/sharedStrings.xml><?xml version="1.0" encoding="utf-8"?>
<sst xmlns="http://schemas.openxmlformats.org/spreadsheetml/2006/main" count="4321" uniqueCount="57">
  <si>
    <t>Neighbourhood</t>
  </si>
  <si>
    <t>Bedrooms</t>
  </si>
  <si>
    <t>Rent (ksh)</t>
  </si>
  <si>
    <t>Furnished</t>
  </si>
  <si>
    <t>Parking</t>
  </si>
  <si>
    <t>Gym</t>
  </si>
  <si>
    <t>Swimming Pool</t>
  </si>
  <si>
    <t>Apartment</t>
  </si>
  <si>
    <t>Bathrooms</t>
  </si>
  <si>
    <t>Yes</t>
  </si>
  <si>
    <t>No</t>
  </si>
  <si>
    <t>yes</t>
  </si>
  <si>
    <t>no</t>
  </si>
  <si>
    <t>Kilimani</t>
  </si>
  <si>
    <t>Townhouse</t>
  </si>
  <si>
    <t>house</t>
  </si>
  <si>
    <t>Lavington</t>
  </si>
  <si>
    <t>Karen</t>
  </si>
  <si>
    <t>Runda</t>
  </si>
  <si>
    <t>Seice charge</t>
  </si>
  <si>
    <t>balcony</t>
  </si>
  <si>
    <t>mansionette</t>
  </si>
  <si>
    <t>mansonette</t>
  </si>
  <si>
    <t>studio</t>
  </si>
  <si>
    <t>Studio</t>
  </si>
  <si>
    <t>Parklands</t>
  </si>
  <si>
    <t>Kileleshwa</t>
  </si>
  <si>
    <t>Upper Hill</t>
  </si>
  <si>
    <t>hulingham</t>
  </si>
  <si>
    <t>Ngong Road</t>
  </si>
  <si>
    <t>Roysambu</t>
  </si>
  <si>
    <t>dulex</t>
  </si>
  <si>
    <t>Westlands</t>
  </si>
  <si>
    <t>Kasarani</t>
  </si>
  <si>
    <t>Ruiru</t>
  </si>
  <si>
    <t>Ruaka</t>
  </si>
  <si>
    <t>Property_Type</t>
  </si>
  <si>
    <t>Service Charge Included</t>
  </si>
  <si>
    <t>Balcony</t>
  </si>
  <si>
    <t>Column1</t>
  </si>
  <si>
    <t>House</t>
  </si>
  <si>
    <t>Column2</t>
  </si>
  <si>
    <t>Column3</t>
  </si>
  <si>
    <t>Column4</t>
  </si>
  <si>
    <t>Grand Total</t>
  </si>
  <si>
    <t>Average of Rent (ksh)</t>
  </si>
  <si>
    <t>Property_ID</t>
  </si>
  <si>
    <t>Balcony2</t>
  </si>
  <si>
    <t>Count</t>
  </si>
  <si>
    <t>Avg Rent (ksh)</t>
  </si>
  <si>
    <t>Total Listings</t>
  </si>
  <si>
    <t>Neighbourhoods covered</t>
  </si>
  <si>
    <t>Most Common Property Type</t>
  </si>
  <si>
    <t>Property Types Analysed</t>
  </si>
  <si>
    <t>KPI Summarry</t>
  </si>
  <si>
    <t>Hurlingham</t>
  </si>
  <si>
    <t>Syokimau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</si>
</sst>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Ksh-441]\ #,##0"/>
  </numFmts>
  <fonts count="4" x14ac:knownFonts="1">
    <font>
      <sz val="11"/>
      <color theme="1"/>
      <name val="Calibri"/>
      <family val="2"/>
      <scheme val="minor"/>
    </font>
    <font>
      <sz val="8"/>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8"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2" fillId="0" borderId="0" xfId="0" pivotButton="1" applyFont="1"/>
    <xf numFmtId="0" fontId="2" fillId="0" borderId="0" xfId="0" applyFont="1"/>
    <xf numFmtId="164" fontId="2" fillId="0" borderId="0" xfId="0" applyNumberFormat="1" applyFont="1"/>
    <xf numFmtId="0" fontId="2" fillId="0" borderId="1" xfId="0" applyFont="1" applyBorder="1"/>
    <xf numFmtId="0" fontId="3" fillId="2" borderId="2" xfId="0" applyFont="1" applyFill="1" applyBorder="1" applyAlignment="1">
      <alignment horizontal="center"/>
    </xf>
    <xf numFmtId="0" fontId="3" fillId="2" borderId="3" xfId="0" applyFont="1" applyFill="1" applyBorder="1" applyAlignment="1">
      <alignment horizontal="center"/>
    </xf>
  </cellXfs>
  <cellStyles count="1">
    <cellStyle name="Normal" xfId="0" builtinId="0"/>
  </cellStyles>
  <dxfs count="55">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4" formatCode="[$Ksh-441]\ #,##0"/>
    </dxf>
    <dxf>
      <numFmt numFmtId="164" formatCode="[$Ksh-441]\ #,##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fill>
        <patternFill>
          <bgColor theme="0"/>
        </patternFill>
      </fill>
      <border>
        <left style="medium">
          <color theme="8" tint="0.79998168889431442"/>
        </left>
        <right style="medium">
          <color theme="8" tint="0.79998168889431442"/>
        </right>
        <top style="medium">
          <color theme="8" tint="0.79998168889431442"/>
        </top>
        <bottom style="medium">
          <color theme="8" tint="0.79998168889431442"/>
        </bottom>
        <vertical/>
        <horizontal/>
      </border>
    </dxf>
    <dxf>
      <font>
        <color theme="1"/>
      </font>
      <border>
        <left style="medium">
          <color theme="0"/>
        </left>
        <right style="medium">
          <color theme="0"/>
        </right>
        <top style="medium">
          <color theme="0"/>
        </top>
        <bottom style="medium">
          <color theme="0"/>
        </bottom>
        <vertical/>
        <horizontal/>
      </border>
    </dxf>
  </dxfs>
  <tableStyles count="1" defaultTableStyle="TableStyleMedium2" defaultPivotStyle="PivotStyleLight16">
    <tableStyle name="SlicerStyleLight1 2" pivot="0" table="0" count="10" xr9:uid="{E4F557B4-74B7-4778-AB7A-9FFEDBB9BEAF}">
      <tableStyleElement type="wholeTable" dxfId="54"/>
      <tableStyleElement type="headerRow" dxfId="5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font>
          <fill>
            <patternFill patternType="solid">
              <fgColor theme="4" tint="0.59999389629810485"/>
              <bgColor theme="8" tint="0.7999816888943144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theme="8" tint="0.7999816888943144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[Nairobi Metropolitan Rental Listing Analysis.xlsx]Analysis!PivotTable1</c:name>
    <c:fmtId val="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400" b="1">
                <a:solidFill>
                  <a:sysClr val="windowText" lastClr="000000"/>
                </a:solidFill>
              </a:rPr>
              <a:t>Listing By Neighbourhood</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027695207842931E-2"/>
          <c:y val="0.1888132546830231"/>
          <c:w val="0.95062261113167645"/>
          <c:h val="0.5494296837045386"/>
        </c:manualLayout>
      </c:layout>
      <c:barChart>
        <c:barDir val="col"/>
        <c:grouping val="clustered"/>
        <c:varyColors val="0"/>
        <c:ser>
          <c:idx val="0"/>
          <c:order val="0"/>
          <c:tx>
            <c:strRef>
              <c:f>Analysis!$B$3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Analysis!$A$4:$A$19</c:f>
              <c:strCache>
                <c:ptCount val="15"/>
                <c:pt idx="0">
                  <c:v>Karen</c:v>
                </c:pt>
                <c:pt idx="1">
                  <c:v>Kasarani</c:v>
                </c:pt>
                <c:pt idx="2">
                  <c:v>Kileleshwa</c:v>
                </c:pt>
                <c:pt idx="3">
                  <c:v>Kilimani</c:v>
                </c:pt>
                <c:pt idx="4">
                  <c:v>Lavington</c:v>
                </c:pt>
                <c:pt idx="5">
                  <c:v>Ngong Road</c:v>
                </c:pt>
                <c:pt idx="6">
                  <c:v>Parklands</c:v>
                </c:pt>
                <c:pt idx="7">
                  <c:v>Roysambu</c:v>
                </c:pt>
                <c:pt idx="8">
                  <c:v>Ruaka</c:v>
                </c:pt>
                <c:pt idx="9">
                  <c:v>Ruiru</c:v>
                </c:pt>
                <c:pt idx="10">
                  <c:v>Runda</c:v>
                </c:pt>
                <c:pt idx="11">
                  <c:v>Syokimau</c:v>
                </c:pt>
                <c:pt idx="12">
                  <c:v>Upper Hill</c:v>
                </c:pt>
                <c:pt idx="13">
                  <c:v>Westlands</c:v>
                </c:pt>
                <c:pt idx="14">
                  <c:v>Hurlingham</c:v>
                </c:pt>
              </c:strCache>
            </c:strRef>
          </c:cat>
          <c:val>
            <c:numRef>
              <c:f>Analysis!$B$4:$B$19</c:f>
              <c:numCache>
                <c:formatCode>General</c:formatCode>
                <c:ptCount val="15"/>
                <c:pt idx="0">
                  <c:v>25</c:v>
                </c:pt>
                <c:pt idx="1">
                  <c:v>8</c:v>
                </c:pt>
                <c:pt idx="2">
                  <c:v>21</c:v>
                </c:pt>
                <c:pt idx="3">
                  <c:v>25</c:v>
                </c:pt>
                <c:pt idx="4">
                  <c:v>25</c:v>
                </c:pt>
                <c:pt idx="5">
                  <c:v>25</c:v>
                </c:pt>
                <c:pt idx="6">
                  <c:v>18</c:v>
                </c:pt>
                <c:pt idx="7">
                  <c:v>25</c:v>
                </c:pt>
                <c:pt idx="8">
                  <c:v>5</c:v>
                </c:pt>
                <c:pt idx="9">
                  <c:v>8</c:v>
                </c:pt>
                <c:pt idx="10">
                  <c:v>21</c:v>
                </c:pt>
                <c:pt idx="11">
                  <c:v>9</c:v>
                </c:pt>
                <c:pt idx="12">
                  <c:v>17</c:v>
                </c:pt>
                <c:pt idx="13">
                  <c:v>25</c:v>
                </c:pt>
                <c:pt idx="14">
                  <c:v>8</c:v>
                </c:pt>
              </c:numCache>
            </c:numRef>
          </c:val>
          <c:extLst>
            <c:ext xmlns:c16="http://schemas.microsoft.com/office/drawing/2014/chart" uri="{C3380CC4-5D6E-409C-BE32-E72D297353CC}">
              <c16:uniqueId val="{00000000-8D5E-4ADB-B35A-5C4C0BE2A9E0}"/>
            </c:ext>
          </c:extLst>
        </c:ser>
        <c:dLbls>
          <c:showLegendKey val="0"/>
          <c:showVal val="0"/>
          <c:showCatName val="0"/>
          <c:showSerName val="0"/>
          <c:showPercent val="0"/>
          <c:showBubbleSize val="0"/>
        </c:dLbls>
        <c:gapWidth val="182"/>
        <c:axId val="1885691423"/>
        <c:axId val="1901625791"/>
      </c:barChart>
      <c:catAx>
        <c:axId val="18856914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KE"/>
          </a:p>
        </c:txPr>
        <c:crossAx val="1901625791"/>
        <c:crosses val="autoZero"/>
        <c:auto val="1"/>
        <c:lblAlgn val="ctr"/>
        <c:lblOffset val="100"/>
        <c:noMultiLvlLbl val="0"/>
      </c:catAx>
      <c:valAx>
        <c:axId val="1901625791"/>
        <c:scaling>
          <c:orientation val="minMax"/>
        </c:scaling>
        <c:delete val="1"/>
        <c:axPos val="l"/>
        <c:numFmt formatCode="General" sourceLinked="1"/>
        <c:majorTickMark val="out"/>
        <c:minorTickMark val="none"/>
        <c:tickLblPos val="nextTo"/>
        <c:crossAx val="1885691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[Nairobi Metropolitan Rental Listing Analysis.xlsx]Analysis!PivotTable17</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400" b="1"/>
              <a:t>Listing By Property Type</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KE"/>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fld id="{BF8A48C4-5F1C-4D3F-9400-A19089D2693A}" type="CATEGORYNAME">
                  <a:rPr lang="en-US"/>
                  <a:pPr>
                    <a:defRPr sz="1400" b="1">
                      <a:solidFill>
                        <a:schemeClr val="bg1"/>
                      </a:solidFill>
                    </a:defRPr>
                  </a:pPr>
                  <a:t>[CATEGORY NAME]</a:t>
                </a:fld>
                <a:r>
                  <a:rPr lang="en-US" baseline="0"/>
                  <a:t>
</a:t>
                </a:r>
                <a:fld id="{354BC3A2-5B2A-4209-9272-4418305B86D9}" type="PERCENTAGE">
                  <a:rPr lang="en-US" baseline="0"/>
                  <a:pPr>
                    <a:defRPr sz="1400" b="1">
                      <a:solidFill>
                        <a:schemeClr val="bg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rgbClr val="002060"/>
          </a:solidFill>
          <a:ln w="19050">
            <a:solidFill>
              <a:schemeClr val="lt1"/>
            </a:solidFill>
          </a:ln>
          <a:effectLst/>
        </c:spPr>
      </c:pivotFmt>
      <c:pivotFmt>
        <c:idx val="4"/>
        <c:spPr>
          <a:solidFill>
            <a:schemeClr val="accent5">
              <a:lumMod val="20000"/>
              <a:lumOff val="80000"/>
            </a:schemeClr>
          </a:solidFill>
          <a:ln w="19050">
            <a:solidFill>
              <a:schemeClr val="lt1"/>
            </a:solidFill>
          </a:ln>
          <a:effectLst/>
        </c:spPr>
      </c:pivotFmt>
      <c:pivotFmt>
        <c:idx val="5"/>
        <c:spPr>
          <a:solidFill>
            <a:srgbClr val="00B0F0"/>
          </a:solidFill>
          <a:ln w="19050">
            <a:solidFill>
              <a:schemeClr val="lt1"/>
            </a:solidFill>
          </a:ln>
          <a:effectLst/>
        </c:spPr>
      </c:pivotFmt>
    </c:pivotFmts>
    <c:plotArea>
      <c:layout/>
      <c:doughnutChart>
        <c:varyColors val="1"/>
        <c:ser>
          <c:idx val="0"/>
          <c:order val="0"/>
          <c:tx>
            <c:strRef>
              <c:f>Analysis!$F$3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10-BF1D-4452-8285-1AE3C2B50DD5}"/>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B3C5-4E3D-9955-94CC30D5BF0B}"/>
              </c:ext>
            </c:extLst>
          </c:dPt>
          <c:dPt>
            <c:idx val="2"/>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F-BF1D-4452-8285-1AE3C2B50DD5}"/>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B3C5-4E3D-9955-94CC30D5BF0B}"/>
              </c:ext>
            </c:extLst>
          </c:dPt>
          <c:dLbls>
            <c:dLbl>
              <c:idx val="0"/>
              <c:tx>
                <c:rich>
                  <a:bodyPr/>
                  <a:lstStyle/>
                  <a:p>
                    <a:fld id="{BF8A48C4-5F1C-4D3F-9400-A19089D2693A}" type="CATEGORYNAME">
                      <a:rPr lang="en-US"/>
                      <a:pPr/>
                      <a:t>[CATEGORY NAME]</a:t>
                    </a:fld>
                    <a:r>
                      <a:rPr lang="en-US" baseline="0"/>
                      <a:t>
</a:t>
                    </a:r>
                    <a:fld id="{354BC3A2-5B2A-4209-9272-4418305B86D9}" type="PERCENTAGE">
                      <a:rPr lang="en-US"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0-BF1D-4452-8285-1AE3C2B50DD5}"/>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KE"/>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Analysis!$E$4:$E$7</c:f>
              <c:strCache>
                <c:ptCount val="4"/>
                <c:pt idx="0">
                  <c:v>Apartment</c:v>
                </c:pt>
                <c:pt idx="1">
                  <c:v>House</c:v>
                </c:pt>
                <c:pt idx="2">
                  <c:v>Studio</c:v>
                </c:pt>
                <c:pt idx="3">
                  <c:v>Townhouse</c:v>
                </c:pt>
              </c:strCache>
            </c:strRef>
          </c:cat>
          <c:val>
            <c:numRef>
              <c:f>Analysis!$F$4:$F$7</c:f>
              <c:numCache>
                <c:formatCode>General</c:formatCode>
                <c:ptCount val="4"/>
                <c:pt idx="0">
                  <c:v>194</c:v>
                </c:pt>
                <c:pt idx="1">
                  <c:v>44</c:v>
                </c:pt>
                <c:pt idx="2">
                  <c:v>8</c:v>
                </c:pt>
                <c:pt idx="3">
                  <c:v>19</c:v>
                </c:pt>
              </c:numCache>
            </c:numRef>
          </c:val>
          <c:extLst>
            <c:ext xmlns:c16="http://schemas.microsoft.com/office/drawing/2014/chart" uri="{C3380CC4-5D6E-409C-BE32-E72D297353CC}">
              <c16:uniqueId val="{0000000E-BF1D-4452-8285-1AE3C2B50DD5}"/>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[Nairobi Metropolitan Rental Listing Analysis.xlsx]Analysis!PivotTable19</c:name>
    <c:fmtId val="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600" b="1">
                <a:solidFill>
                  <a:sysClr val="windowText" lastClr="000000"/>
                </a:solidFill>
              </a:rPr>
              <a:t>Average</a:t>
            </a:r>
            <a:r>
              <a:rPr lang="en-US" sz="1600" b="1" baseline="0">
                <a:solidFill>
                  <a:sysClr val="windowText" lastClr="000000"/>
                </a:solidFill>
              </a:rPr>
              <a:t> Rent By Bedrooms</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369143569045079E-3"/>
          <c:y val="0.25710542771353667"/>
          <c:w val="0.99156308564309548"/>
          <c:h val="0.56784833969826287"/>
        </c:manualLayout>
      </c:layout>
      <c:barChart>
        <c:barDir val="col"/>
        <c:grouping val="clustered"/>
        <c:varyColors val="0"/>
        <c:ser>
          <c:idx val="0"/>
          <c:order val="0"/>
          <c:tx>
            <c:strRef>
              <c:f>Analysis!$B$22</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Analysis!$A$23:$A$29</c:f>
              <c:strCache>
                <c:ptCount val="7"/>
                <c:pt idx="0">
                  <c:v>0</c:v>
                </c:pt>
                <c:pt idx="1">
                  <c:v>1</c:v>
                </c:pt>
                <c:pt idx="2">
                  <c:v>2</c:v>
                </c:pt>
                <c:pt idx="3">
                  <c:v>3</c:v>
                </c:pt>
                <c:pt idx="4">
                  <c:v>4</c:v>
                </c:pt>
                <c:pt idx="5">
                  <c:v>6</c:v>
                </c:pt>
                <c:pt idx="6">
                  <c:v>5</c:v>
                </c:pt>
              </c:strCache>
            </c:strRef>
          </c:cat>
          <c:val>
            <c:numRef>
              <c:f>Analysis!$B$23:$B$29</c:f>
              <c:numCache>
                <c:formatCode>[$Ksh-441]\ #,##0</c:formatCode>
                <c:ptCount val="7"/>
                <c:pt idx="0">
                  <c:v>71000</c:v>
                </c:pt>
                <c:pt idx="1">
                  <c:v>78735.526315789481</c:v>
                </c:pt>
                <c:pt idx="2">
                  <c:v>118363.98809523809</c:v>
                </c:pt>
                <c:pt idx="3">
                  <c:v>160582.08955223882</c:v>
                </c:pt>
                <c:pt idx="4">
                  <c:v>263705.12820512819</c:v>
                </c:pt>
                <c:pt idx="5">
                  <c:v>368000</c:v>
                </c:pt>
                <c:pt idx="6">
                  <c:v>418805.35714285716</c:v>
                </c:pt>
              </c:numCache>
            </c:numRef>
          </c:val>
          <c:extLst>
            <c:ext xmlns:c16="http://schemas.microsoft.com/office/drawing/2014/chart" uri="{C3380CC4-5D6E-409C-BE32-E72D297353CC}">
              <c16:uniqueId val="{00000000-EC7F-4255-95AA-8A9C3814CCDE}"/>
            </c:ext>
          </c:extLst>
        </c:ser>
        <c:dLbls>
          <c:showLegendKey val="0"/>
          <c:showVal val="0"/>
          <c:showCatName val="0"/>
          <c:showSerName val="0"/>
          <c:showPercent val="0"/>
          <c:showBubbleSize val="0"/>
        </c:dLbls>
        <c:gapWidth val="219"/>
        <c:axId val="1628059439"/>
        <c:axId val="1628059919"/>
      </c:barChart>
      <c:catAx>
        <c:axId val="162805943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KE"/>
          </a:p>
        </c:txPr>
        <c:crossAx val="1628059919"/>
        <c:crosses val="autoZero"/>
        <c:auto val="1"/>
        <c:lblAlgn val="ctr"/>
        <c:lblOffset val="100"/>
        <c:noMultiLvlLbl val="0"/>
      </c:catAx>
      <c:valAx>
        <c:axId val="1628059919"/>
        <c:scaling>
          <c:orientation val="minMax"/>
        </c:scaling>
        <c:delete val="1"/>
        <c:axPos val="l"/>
        <c:numFmt formatCode="[$Ksh-441]\ #,##0" sourceLinked="1"/>
        <c:majorTickMark val="none"/>
        <c:minorTickMark val="none"/>
        <c:tickLblPos val="nextTo"/>
        <c:crossAx val="162805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[Nairobi Metropolitan Rental Listing Analysis.xlsx]Analysis!PivotTable25</c:name>
    <c:fmtId val="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baseline="0">
                <a:solidFill>
                  <a:sysClr val="windowText" lastClr="000000"/>
                </a:solidFill>
              </a:rPr>
              <a:t>Average Rent By Property Type and Furnished</a:t>
            </a:r>
            <a:endParaRPr lang="en-KE"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Analysis!$F$11:$F$12</c:f>
              <c:strCache>
                <c:ptCount val="1"/>
                <c:pt idx="0">
                  <c:v>No</c:v>
                </c:pt>
              </c:strCache>
            </c:strRef>
          </c:tx>
          <c:spPr>
            <a:solidFill>
              <a:srgbClr val="002060"/>
            </a:solidFill>
            <a:ln>
              <a:noFill/>
            </a:ln>
            <a:effectLst/>
          </c:spPr>
          <c:invertIfNegative val="0"/>
          <c:cat>
            <c:strRef>
              <c:f>Analysis!$E$13:$E$16</c:f>
              <c:strCache>
                <c:ptCount val="4"/>
                <c:pt idx="0">
                  <c:v>Apartment</c:v>
                </c:pt>
                <c:pt idx="1">
                  <c:v>House</c:v>
                </c:pt>
                <c:pt idx="2">
                  <c:v>Studio</c:v>
                </c:pt>
                <c:pt idx="3">
                  <c:v>Townhouse</c:v>
                </c:pt>
              </c:strCache>
            </c:strRef>
          </c:cat>
          <c:val>
            <c:numRef>
              <c:f>Analysis!$F$13:$F$16</c:f>
              <c:numCache>
                <c:formatCode>[$Ksh-441]\ #,##0</c:formatCode>
                <c:ptCount val="4"/>
                <c:pt idx="0">
                  <c:v>109575</c:v>
                </c:pt>
                <c:pt idx="1">
                  <c:v>332084.52380952379</c:v>
                </c:pt>
                <c:pt idx="2">
                  <c:v>48333.333333333336</c:v>
                </c:pt>
                <c:pt idx="3">
                  <c:v>308527.77777777775</c:v>
                </c:pt>
              </c:numCache>
            </c:numRef>
          </c:val>
          <c:extLst>
            <c:ext xmlns:c16="http://schemas.microsoft.com/office/drawing/2014/chart" uri="{C3380CC4-5D6E-409C-BE32-E72D297353CC}">
              <c16:uniqueId val="{00000011-F686-475F-B50F-9DA7C01E4DEB}"/>
            </c:ext>
          </c:extLst>
        </c:ser>
        <c:ser>
          <c:idx val="1"/>
          <c:order val="1"/>
          <c:tx>
            <c:strRef>
              <c:f>Analysis!$G$11:$G$12</c:f>
              <c:strCache>
                <c:ptCount val="1"/>
                <c:pt idx="0">
                  <c:v>Yes</c:v>
                </c:pt>
              </c:strCache>
            </c:strRef>
          </c:tx>
          <c:spPr>
            <a:solidFill>
              <a:schemeClr val="accent2"/>
            </a:solidFill>
            <a:ln>
              <a:noFill/>
            </a:ln>
            <a:effectLst/>
          </c:spPr>
          <c:invertIfNegative val="0"/>
          <c:cat>
            <c:strRef>
              <c:f>Analysis!$E$13:$E$16</c:f>
              <c:strCache>
                <c:ptCount val="4"/>
                <c:pt idx="0">
                  <c:v>Apartment</c:v>
                </c:pt>
                <c:pt idx="1">
                  <c:v>House</c:v>
                </c:pt>
                <c:pt idx="2">
                  <c:v>Studio</c:v>
                </c:pt>
                <c:pt idx="3">
                  <c:v>Townhouse</c:v>
                </c:pt>
              </c:strCache>
            </c:strRef>
          </c:cat>
          <c:val>
            <c:numRef>
              <c:f>Analysis!$G$13:$G$16</c:f>
              <c:numCache>
                <c:formatCode>[$Ksh-441]\ #,##0</c:formatCode>
                <c:ptCount val="4"/>
                <c:pt idx="0">
                  <c:v>182461.69354838709</c:v>
                </c:pt>
                <c:pt idx="1">
                  <c:v>704500</c:v>
                </c:pt>
                <c:pt idx="2">
                  <c:v>80000</c:v>
                </c:pt>
                <c:pt idx="3">
                  <c:v>300000</c:v>
                </c:pt>
              </c:numCache>
            </c:numRef>
          </c:val>
          <c:extLst>
            <c:ext xmlns:c16="http://schemas.microsoft.com/office/drawing/2014/chart" uri="{C3380CC4-5D6E-409C-BE32-E72D297353CC}">
              <c16:uniqueId val="{00000012-F686-475F-B50F-9DA7C01E4DEB}"/>
            </c:ext>
          </c:extLst>
        </c:ser>
        <c:dLbls>
          <c:showLegendKey val="0"/>
          <c:showVal val="0"/>
          <c:showCatName val="0"/>
          <c:showSerName val="0"/>
          <c:showPercent val="0"/>
          <c:showBubbleSize val="0"/>
        </c:dLbls>
        <c:gapWidth val="219"/>
        <c:overlap val="-27"/>
        <c:axId val="2045764959"/>
        <c:axId val="2045766399"/>
      </c:barChart>
      <c:catAx>
        <c:axId val="204576495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KE"/>
          </a:p>
        </c:txPr>
        <c:crossAx val="2045766399"/>
        <c:crosses val="autoZero"/>
        <c:auto val="1"/>
        <c:lblAlgn val="ctr"/>
        <c:lblOffset val="100"/>
        <c:noMultiLvlLbl val="0"/>
      </c:catAx>
      <c:valAx>
        <c:axId val="2045766399"/>
        <c:scaling>
          <c:orientation val="minMax"/>
        </c:scaling>
        <c:delete val="0"/>
        <c:axPos val="l"/>
        <c:numFmt formatCode="[$Ksh-441]\ #,##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KE"/>
          </a:p>
        </c:txPr>
        <c:crossAx val="204576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[Nairobi Metropolitan Rental Listing Analysis.xlsx]Analysis!PivotTable28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Rent By  Property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Analysis!$J$3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Analysis!$I$4:$I$7</c:f>
              <c:strCache>
                <c:ptCount val="4"/>
                <c:pt idx="0">
                  <c:v>Apartment</c:v>
                </c:pt>
                <c:pt idx="1">
                  <c:v>House</c:v>
                </c:pt>
                <c:pt idx="2">
                  <c:v>Studio</c:v>
                </c:pt>
                <c:pt idx="3">
                  <c:v>Townhouse</c:v>
                </c:pt>
              </c:strCache>
            </c:strRef>
          </c:cat>
          <c:val>
            <c:numRef>
              <c:f>Analysis!$J$4:$J$7</c:f>
              <c:numCache>
                <c:formatCode>[$Ksh-441]\ #,##0</c:formatCode>
                <c:ptCount val="4"/>
                <c:pt idx="0">
                  <c:v>132868.68556701031</c:v>
                </c:pt>
                <c:pt idx="1">
                  <c:v>349012.5</c:v>
                </c:pt>
                <c:pt idx="2">
                  <c:v>68125</c:v>
                </c:pt>
                <c:pt idx="3">
                  <c:v>308078.94736842107</c:v>
                </c:pt>
              </c:numCache>
            </c:numRef>
          </c:val>
          <c:extLst>
            <c:ext xmlns:c16="http://schemas.microsoft.com/office/drawing/2014/chart" uri="{C3380CC4-5D6E-409C-BE32-E72D297353CC}">
              <c16:uniqueId val="{00000005-9D40-4EFD-A927-517925EFF7F3}"/>
            </c:ext>
          </c:extLst>
        </c:ser>
        <c:dLbls>
          <c:showLegendKey val="0"/>
          <c:showVal val="0"/>
          <c:showCatName val="0"/>
          <c:showSerName val="0"/>
          <c:showPercent val="0"/>
          <c:showBubbleSize val="0"/>
        </c:dLbls>
        <c:gapWidth val="219"/>
        <c:axId val="1632963423"/>
        <c:axId val="1632963903"/>
      </c:barChart>
      <c:catAx>
        <c:axId val="163296342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KE"/>
          </a:p>
        </c:txPr>
        <c:crossAx val="1632963903"/>
        <c:crosses val="autoZero"/>
        <c:auto val="1"/>
        <c:lblAlgn val="ctr"/>
        <c:lblOffset val="100"/>
        <c:noMultiLvlLbl val="0"/>
      </c:catAx>
      <c:valAx>
        <c:axId val="1632963903"/>
        <c:scaling>
          <c:orientation val="minMax"/>
        </c:scaling>
        <c:delete val="1"/>
        <c:axPos val="b"/>
        <c:numFmt formatCode="[$Ksh-441]\ #,##0" sourceLinked="1"/>
        <c:majorTickMark val="none"/>
        <c:minorTickMark val="none"/>
        <c:tickLblPos val="nextTo"/>
        <c:crossAx val="163296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[Nairobi Metropolitan Rental Listing Analysis.xlsx]Analysis!PivotTable27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a:t>
            </a:r>
            <a:r>
              <a:rPr lang="en-US" b="1" baseline="0">
                <a:solidFill>
                  <a:schemeClr val="tx1"/>
                </a:solidFill>
              </a:rPr>
              <a:t> Rent By Property Type And Gym</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Analysis!$F$21:$F$22</c:f>
              <c:strCache>
                <c:ptCount val="1"/>
                <c:pt idx="0">
                  <c:v>No</c:v>
                </c:pt>
              </c:strCache>
            </c:strRef>
          </c:tx>
          <c:spPr>
            <a:solidFill>
              <a:srgbClr val="002060"/>
            </a:solidFill>
            <a:ln>
              <a:solidFill>
                <a:srgbClr val="002060"/>
              </a:solidFill>
            </a:ln>
            <a:effectLst/>
          </c:spPr>
          <c:invertIfNegative val="0"/>
          <c:cat>
            <c:strRef>
              <c:f>Analysis!$E$23:$E$26</c:f>
              <c:strCache>
                <c:ptCount val="4"/>
                <c:pt idx="0">
                  <c:v>Apartment</c:v>
                </c:pt>
                <c:pt idx="1">
                  <c:v>House</c:v>
                </c:pt>
                <c:pt idx="2">
                  <c:v>Studio</c:v>
                </c:pt>
                <c:pt idx="3">
                  <c:v>Townhouse</c:v>
                </c:pt>
              </c:strCache>
            </c:strRef>
          </c:cat>
          <c:val>
            <c:numRef>
              <c:f>Analysis!$F$23:$F$26</c:f>
              <c:numCache>
                <c:formatCode>[$Ksh-441]\ #,##0</c:formatCode>
                <c:ptCount val="4"/>
                <c:pt idx="0">
                  <c:v>118270.48192771085</c:v>
                </c:pt>
                <c:pt idx="1">
                  <c:v>312104.4117647059</c:v>
                </c:pt>
                <c:pt idx="2">
                  <c:v>62500</c:v>
                </c:pt>
                <c:pt idx="3">
                  <c:v>271250</c:v>
                </c:pt>
              </c:numCache>
            </c:numRef>
          </c:val>
          <c:extLst>
            <c:ext xmlns:c16="http://schemas.microsoft.com/office/drawing/2014/chart" uri="{C3380CC4-5D6E-409C-BE32-E72D297353CC}">
              <c16:uniqueId val="{00000017-0B8B-419E-9925-3D2BD907869A}"/>
            </c:ext>
          </c:extLst>
        </c:ser>
        <c:ser>
          <c:idx val="1"/>
          <c:order val="1"/>
          <c:tx>
            <c:strRef>
              <c:f>Analysis!$G$21:$G$22</c:f>
              <c:strCache>
                <c:ptCount val="1"/>
                <c:pt idx="0">
                  <c:v>Yes</c:v>
                </c:pt>
              </c:strCache>
            </c:strRef>
          </c:tx>
          <c:spPr>
            <a:solidFill>
              <a:schemeClr val="accent2"/>
            </a:solidFill>
            <a:ln>
              <a:noFill/>
            </a:ln>
            <a:effectLst/>
          </c:spPr>
          <c:invertIfNegative val="0"/>
          <c:cat>
            <c:strRef>
              <c:f>Analysis!$E$23:$E$26</c:f>
              <c:strCache>
                <c:ptCount val="4"/>
                <c:pt idx="0">
                  <c:v>Apartment</c:v>
                </c:pt>
                <c:pt idx="1">
                  <c:v>House</c:v>
                </c:pt>
                <c:pt idx="2">
                  <c:v>Studio</c:v>
                </c:pt>
                <c:pt idx="3">
                  <c:v>Townhouse</c:v>
                </c:pt>
              </c:strCache>
            </c:strRef>
          </c:cat>
          <c:val>
            <c:numRef>
              <c:f>Analysis!$G$23:$G$26</c:f>
              <c:numCache>
                <c:formatCode>[$Ksh-441]\ #,##0</c:formatCode>
                <c:ptCount val="4"/>
                <c:pt idx="0">
                  <c:v>143784.45945945947</c:v>
                </c:pt>
                <c:pt idx="1">
                  <c:v>474500</c:v>
                </c:pt>
                <c:pt idx="2">
                  <c:v>85000</c:v>
                </c:pt>
                <c:pt idx="3">
                  <c:v>371214.28571428574</c:v>
                </c:pt>
              </c:numCache>
            </c:numRef>
          </c:val>
          <c:extLst>
            <c:ext xmlns:c16="http://schemas.microsoft.com/office/drawing/2014/chart" uri="{C3380CC4-5D6E-409C-BE32-E72D297353CC}">
              <c16:uniqueId val="{00000018-0B8B-419E-9925-3D2BD907869A}"/>
            </c:ext>
          </c:extLst>
        </c:ser>
        <c:dLbls>
          <c:showLegendKey val="0"/>
          <c:showVal val="0"/>
          <c:showCatName val="0"/>
          <c:showSerName val="0"/>
          <c:showPercent val="0"/>
          <c:showBubbleSize val="0"/>
        </c:dLbls>
        <c:gapWidth val="219"/>
        <c:overlap val="-27"/>
        <c:axId val="1705356720"/>
        <c:axId val="1705350960"/>
      </c:barChart>
      <c:catAx>
        <c:axId val="17053567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KE"/>
          </a:p>
        </c:txPr>
        <c:crossAx val="1705350960"/>
        <c:crosses val="autoZero"/>
        <c:auto val="1"/>
        <c:lblAlgn val="ctr"/>
        <c:lblOffset val="100"/>
        <c:noMultiLvlLbl val="0"/>
      </c:catAx>
      <c:valAx>
        <c:axId val="1705350960"/>
        <c:scaling>
          <c:orientation val="minMax"/>
        </c:scaling>
        <c:delete val="0"/>
        <c:axPos val="l"/>
        <c:numFmt formatCode="[$Ksh-441]\ #,##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KE"/>
          </a:p>
        </c:txPr>
        <c:crossAx val="170535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[Nairobi Metropolitan Rental Listing Analysis.xlsx]Analysis!PivotTable27</c:name>
    <c:fmtId val="9"/>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300" b="1">
                <a:solidFill>
                  <a:sysClr val="windowText" lastClr="000000"/>
                </a:solidFill>
              </a:rPr>
              <a:t>Average Rent by Property Type and Swimming Pool</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Analysis!$F$21:$F$22</c:f>
              <c:strCache>
                <c:ptCount val="1"/>
                <c:pt idx="0">
                  <c:v>No</c:v>
                </c:pt>
              </c:strCache>
            </c:strRef>
          </c:tx>
          <c:spPr>
            <a:solidFill>
              <a:srgbClr val="002060"/>
            </a:solidFill>
            <a:ln>
              <a:solidFill>
                <a:srgbClr val="002060"/>
              </a:solidFill>
            </a:ln>
            <a:effectLst/>
          </c:spPr>
          <c:invertIfNegative val="0"/>
          <c:cat>
            <c:strRef>
              <c:f>Analysis!$E$23:$E$26</c:f>
              <c:strCache>
                <c:ptCount val="4"/>
                <c:pt idx="0">
                  <c:v>Apartment</c:v>
                </c:pt>
                <c:pt idx="1">
                  <c:v>House</c:v>
                </c:pt>
                <c:pt idx="2">
                  <c:v>Studio</c:v>
                </c:pt>
                <c:pt idx="3">
                  <c:v>Townhouse</c:v>
                </c:pt>
              </c:strCache>
            </c:strRef>
          </c:cat>
          <c:val>
            <c:numRef>
              <c:f>Analysis!$F$23:$F$26</c:f>
              <c:numCache>
                <c:formatCode>[$Ksh-441]\ #,##0</c:formatCode>
                <c:ptCount val="4"/>
                <c:pt idx="0">
                  <c:v>118270.48192771085</c:v>
                </c:pt>
                <c:pt idx="1">
                  <c:v>312104.4117647059</c:v>
                </c:pt>
                <c:pt idx="2">
                  <c:v>62500</c:v>
                </c:pt>
                <c:pt idx="3">
                  <c:v>271250</c:v>
                </c:pt>
              </c:numCache>
            </c:numRef>
          </c:val>
          <c:extLst>
            <c:ext xmlns:c16="http://schemas.microsoft.com/office/drawing/2014/chart" uri="{C3380CC4-5D6E-409C-BE32-E72D297353CC}">
              <c16:uniqueId val="{00000017-F38F-4A47-A2A2-8934104C7D25}"/>
            </c:ext>
          </c:extLst>
        </c:ser>
        <c:ser>
          <c:idx val="1"/>
          <c:order val="1"/>
          <c:tx>
            <c:strRef>
              <c:f>Analysis!$G$21:$G$22</c:f>
              <c:strCache>
                <c:ptCount val="1"/>
                <c:pt idx="0">
                  <c:v>Yes</c:v>
                </c:pt>
              </c:strCache>
            </c:strRef>
          </c:tx>
          <c:spPr>
            <a:solidFill>
              <a:schemeClr val="accent2"/>
            </a:solidFill>
            <a:ln>
              <a:noFill/>
            </a:ln>
            <a:effectLst/>
          </c:spPr>
          <c:invertIfNegative val="0"/>
          <c:cat>
            <c:strRef>
              <c:f>Analysis!$E$23:$E$26</c:f>
              <c:strCache>
                <c:ptCount val="4"/>
                <c:pt idx="0">
                  <c:v>Apartment</c:v>
                </c:pt>
                <c:pt idx="1">
                  <c:v>House</c:v>
                </c:pt>
                <c:pt idx="2">
                  <c:v>Studio</c:v>
                </c:pt>
                <c:pt idx="3">
                  <c:v>Townhouse</c:v>
                </c:pt>
              </c:strCache>
            </c:strRef>
          </c:cat>
          <c:val>
            <c:numRef>
              <c:f>Analysis!$G$23:$G$26</c:f>
              <c:numCache>
                <c:formatCode>[$Ksh-441]\ #,##0</c:formatCode>
                <c:ptCount val="4"/>
                <c:pt idx="0">
                  <c:v>143784.45945945947</c:v>
                </c:pt>
                <c:pt idx="1">
                  <c:v>474500</c:v>
                </c:pt>
                <c:pt idx="2">
                  <c:v>85000</c:v>
                </c:pt>
                <c:pt idx="3">
                  <c:v>371214.28571428574</c:v>
                </c:pt>
              </c:numCache>
            </c:numRef>
          </c:val>
          <c:extLst>
            <c:ext xmlns:c16="http://schemas.microsoft.com/office/drawing/2014/chart" uri="{C3380CC4-5D6E-409C-BE32-E72D297353CC}">
              <c16:uniqueId val="{00000018-F38F-4A47-A2A2-8934104C7D25}"/>
            </c:ext>
          </c:extLst>
        </c:ser>
        <c:dLbls>
          <c:showLegendKey val="0"/>
          <c:showVal val="0"/>
          <c:showCatName val="0"/>
          <c:showSerName val="0"/>
          <c:showPercent val="0"/>
          <c:showBubbleSize val="0"/>
        </c:dLbls>
        <c:gapWidth val="219"/>
        <c:overlap val="-27"/>
        <c:axId val="1705357200"/>
        <c:axId val="1705356720"/>
      </c:barChart>
      <c:catAx>
        <c:axId val="17053572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KE"/>
          </a:p>
        </c:txPr>
        <c:crossAx val="1705356720"/>
        <c:crosses val="autoZero"/>
        <c:auto val="1"/>
        <c:lblAlgn val="ctr"/>
        <c:lblOffset val="100"/>
        <c:noMultiLvlLbl val="0"/>
      </c:catAx>
      <c:valAx>
        <c:axId val="1705356720"/>
        <c:scaling>
          <c:orientation val="minMax"/>
        </c:scaling>
        <c:delete val="0"/>
        <c:axPos val="l"/>
        <c:numFmt formatCode="[$Ksh-441]\ #,##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KE"/>
          </a:p>
        </c:txPr>
        <c:crossAx val="170535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66674</xdr:colOff>
      <xdr:row>0</xdr:row>
      <xdr:rowOff>35720</xdr:rowOff>
    </xdr:from>
    <xdr:to>
      <xdr:col>25</xdr:col>
      <xdr:colOff>285750</xdr:colOff>
      <xdr:row>2</xdr:row>
      <xdr:rowOff>154782</xdr:rowOff>
    </xdr:to>
    <xdr:sp macro="" textlink="">
      <xdr:nvSpPr>
        <xdr:cNvPr id="2" name="Rectangle: Rounded Corners 1">
          <a:extLst>
            <a:ext uri="{FF2B5EF4-FFF2-40B4-BE49-F238E27FC236}">
              <a16:creationId xmlns:a16="http://schemas.microsoft.com/office/drawing/2014/main" id="{596E3D57-60CF-9C2C-BD2D-6222935712FF}"/>
            </a:ext>
          </a:extLst>
        </xdr:cNvPr>
        <xdr:cNvSpPr/>
      </xdr:nvSpPr>
      <xdr:spPr>
        <a:xfrm>
          <a:off x="66674" y="35720"/>
          <a:ext cx="15613857" cy="500062"/>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solidFill>
                <a:sysClr val="windowText" lastClr="000000"/>
              </a:solidFill>
            </a:rPr>
            <a:t>Nairobi Metropolitan</a:t>
          </a:r>
          <a:r>
            <a:rPr lang="en-US" sz="3600" b="1" baseline="0">
              <a:solidFill>
                <a:sysClr val="windowText" lastClr="000000"/>
              </a:solidFill>
            </a:rPr>
            <a:t> Rental Sample Listing Analysis Dashboard</a:t>
          </a:r>
          <a:endParaRPr lang="en-KE" sz="3600" b="1">
            <a:solidFill>
              <a:sysClr val="windowText" lastClr="000000"/>
            </a:solidFill>
          </a:endParaRPr>
        </a:p>
      </xdr:txBody>
    </xdr:sp>
    <xdr:clientData/>
  </xdr:twoCellAnchor>
  <xdr:twoCellAnchor>
    <xdr:from>
      <xdr:col>3</xdr:col>
      <xdr:colOff>226219</xdr:colOff>
      <xdr:row>3</xdr:row>
      <xdr:rowOff>23813</xdr:rowOff>
    </xdr:from>
    <xdr:to>
      <xdr:col>25</xdr:col>
      <xdr:colOff>285749</xdr:colOff>
      <xdr:row>36</xdr:row>
      <xdr:rowOff>166689</xdr:rowOff>
    </xdr:to>
    <xdr:sp macro="" textlink="">
      <xdr:nvSpPr>
        <xdr:cNvPr id="7" name="Rectangle: Rounded Corners 6">
          <a:extLst>
            <a:ext uri="{FF2B5EF4-FFF2-40B4-BE49-F238E27FC236}">
              <a16:creationId xmlns:a16="http://schemas.microsoft.com/office/drawing/2014/main" id="{A6D60DEF-95E9-3E96-A790-98C6A6D3B8AE}"/>
            </a:ext>
          </a:extLst>
        </xdr:cNvPr>
        <xdr:cNvSpPr/>
      </xdr:nvSpPr>
      <xdr:spPr>
        <a:xfrm>
          <a:off x="2262188" y="595313"/>
          <a:ext cx="13418342" cy="6429376"/>
        </a:xfrm>
        <a:prstGeom prst="roundRect">
          <a:avLst>
            <a:gd name="adj" fmla="val 0"/>
          </a:avLst>
        </a:prstGeom>
        <a:solidFill>
          <a:schemeClr val="accent5">
            <a:lumMod val="20000"/>
            <a:lumOff val="80000"/>
          </a:schemeClr>
        </a:solidFill>
        <a:effectLst>
          <a:outerShdw blurRad="50800" dist="381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3</xdr:col>
      <xdr:colOff>285750</xdr:colOff>
      <xdr:row>3</xdr:row>
      <xdr:rowOff>71436</xdr:rowOff>
    </xdr:from>
    <xdr:to>
      <xdr:col>10</xdr:col>
      <xdr:colOff>535781</xdr:colOff>
      <xdr:row>15</xdr:row>
      <xdr:rowOff>119061</xdr:rowOff>
    </xdr:to>
    <xdr:graphicFrame macro="">
      <xdr:nvGraphicFramePr>
        <xdr:cNvPr id="8" name="Chart 1">
          <a:extLst>
            <a:ext uri="{FF2B5EF4-FFF2-40B4-BE49-F238E27FC236}">
              <a16:creationId xmlns:a16="http://schemas.microsoft.com/office/drawing/2014/main" id="{0E2F6101-1C83-4CDC-F780-DE110DF56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11904</xdr:colOff>
      <xdr:row>3</xdr:row>
      <xdr:rowOff>76997</xdr:rowOff>
    </xdr:from>
    <xdr:to>
      <xdr:col>18</xdr:col>
      <xdr:colOff>250031</xdr:colOff>
      <xdr:row>15</xdr:row>
      <xdr:rowOff>119065</xdr:rowOff>
    </xdr:to>
    <xdr:graphicFrame macro="">
      <xdr:nvGraphicFramePr>
        <xdr:cNvPr id="12" name="Chart 5">
          <a:extLst>
            <a:ext uri="{FF2B5EF4-FFF2-40B4-BE49-F238E27FC236}">
              <a16:creationId xmlns:a16="http://schemas.microsoft.com/office/drawing/2014/main" id="{0B8EB939-C309-349A-1102-66FB203A39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35719</xdr:colOff>
      <xdr:row>3</xdr:row>
      <xdr:rowOff>23812</xdr:rowOff>
    </xdr:from>
    <xdr:to>
      <xdr:col>3</xdr:col>
      <xdr:colOff>47625</xdr:colOff>
      <xdr:row>36</xdr:row>
      <xdr:rowOff>178593</xdr:rowOff>
    </xdr:to>
    <xdr:sp macro="" textlink="">
      <xdr:nvSpPr>
        <xdr:cNvPr id="3" name="Rectangle: Rounded Corners 2">
          <a:extLst>
            <a:ext uri="{FF2B5EF4-FFF2-40B4-BE49-F238E27FC236}">
              <a16:creationId xmlns:a16="http://schemas.microsoft.com/office/drawing/2014/main" id="{01925278-6FE6-933C-9DF6-8409E500401E}"/>
            </a:ext>
          </a:extLst>
        </xdr:cNvPr>
        <xdr:cNvSpPr/>
      </xdr:nvSpPr>
      <xdr:spPr>
        <a:xfrm>
          <a:off x="35719" y="595312"/>
          <a:ext cx="2047875" cy="6441281"/>
        </a:xfrm>
        <a:prstGeom prst="roundRect">
          <a:avLst>
            <a:gd name="adj" fmla="val 5111"/>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113110</xdr:colOff>
      <xdr:row>3</xdr:row>
      <xdr:rowOff>119062</xdr:rowOff>
    </xdr:from>
    <xdr:to>
      <xdr:col>2</xdr:col>
      <xdr:colOff>821531</xdr:colOff>
      <xdr:row>10</xdr:row>
      <xdr:rowOff>95250</xdr:rowOff>
    </xdr:to>
    <xdr:grpSp>
      <xdr:nvGrpSpPr>
        <xdr:cNvPr id="16" name="Group 15">
          <a:extLst>
            <a:ext uri="{FF2B5EF4-FFF2-40B4-BE49-F238E27FC236}">
              <a16:creationId xmlns:a16="http://schemas.microsoft.com/office/drawing/2014/main" id="{3789339E-579B-1F24-5BEC-D6660DFC04F7}"/>
            </a:ext>
          </a:extLst>
        </xdr:cNvPr>
        <xdr:cNvGrpSpPr/>
      </xdr:nvGrpSpPr>
      <xdr:grpSpPr>
        <a:xfrm>
          <a:off x="113110" y="690562"/>
          <a:ext cx="1922859" cy="1309688"/>
          <a:chOff x="169444" y="631032"/>
          <a:chExt cx="2524125" cy="983458"/>
        </a:xfrm>
      </xdr:grpSpPr>
      <xdr:sp macro="" textlink="">
        <xdr:nvSpPr>
          <xdr:cNvPr id="5" name="Rectangle: Rounded Corners 4">
            <a:extLst>
              <a:ext uri="{FF2B5EF4-FFF2-40B4-BE49-F238E27FC236}">
                <a16:creationId xmlns:a16="http://schemas.microsoft.com/office/drawing/2014/main" id="{0E28690A-0428-4A56-AA01-BB4FADF5D1C2}"/>
              </a:ext>
            </a:extLst>
          </xdr:cNvPr>
          <xdr:cNvSpPr/>
        </xdr:nvSpPr>
        <xdr:spPr>
          <a:xfrm>
            <a:off x="169444" y="631032"/>
            <a:ext cx="2524125" cy="98345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sp macro="" textlink="">
        <xdr:nvSpPr>
          <xdr:cNvPr id="14" name="Rectangle: Rounded Corners 13">
            <a:extLst>
              <a:ext uri="{FF2B5EF4-FFF2-40B4-BE49-F238E27FC236}">
                <a16:creationId xmlns:a16="http://schemas.microsoft.com/office/drawing/2014/main" id="{603101A6-9F64-A6C4-87DD-DD589AD9994E}"/>
              </a:ext>
            </a:extLst>
          </xdr:cNvPr>
          <xdr:cNvSpPr/>
        </xdr:nvSpPr>
        <xdr:spPr>
          <a:xfrm>
            <a:off x="309563" y="714373"/>
            <a:ext cx="2202656" cy="402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rPr>
              <a:t>Total Listings</a:t>
            </a:r>
            <a:endParaRPr lang="en-KE" sz="1400" b="1">
              <a:solidFill>
                <a:sysClr val="windowText" lastClr="000000"/>
              </a:solidFill>
            </a:endParaRPr>
          </a:p>
        </xdr:txBody>
      </xdr:sp>
      <xdr:sp macro="" textlink="Analysis!K22">
        <xdr:nvSpPr>
          <xdr:cNvPr id="15" name="Rectangle: Rounded Corners 14">
            <a:extLst>
              <a:ext uri="{FF2B5EF4-FFF2-40B4-BE49-F238E27FC236}">
                <a16:creationId xmlns:a16="http://schemas.microsoft.com/office/drawing/2014/main" id="{ACE410FD-B5AC-457E-A39E-0E23AB944DA6}"/>
              </a:ext>
            </a:extLst>
          </xdr:cNvPr>
          <xdr:cNvSpPr/>
        </xdr:nvSpPr>
        <xdr:spPr>
          <a:xfrm>
            <a:off x="295274" y="1128712"/>
            <a:ext cx="2202656" cy="419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113A304-10A5-459F-9BB4-2B0D29E2F03E}" type="TxLink">
              <a:rPr lang="en-US" sz="4400" b="1" i="0" u="none" strike="noStrike">
                <a:solidFill>
                  <a:srgbClr val="000000"/>
                </a:solidFill>
                <a:latin typeface="Calibri"/>
                <a:cs typeface="Calibri"/>
              </a:rPr>
              <a:pPr algn="ctr"/>
              <a:t>265</a:t>
            </a:fld>
            <a:endParaRPr lang="en-KE" sz="4400" b="1"/>
          </a:p>
        </xdr:txBody>
      </xdr:sp>
    </xdr:grpSp>
    <xdr:clientData/>
  </xdr:twoCellAnchor>
  <xdr:twoCellAnchor>
    <xdr:from>
      <xdr:col>0</xdr:col>
      <xdr:colOff>0</xdr:colOff>
      <xdr:row>11</xdr:row>
      <xdr:rowOff>44453</xdr:rowOff>
    </xdr:from>
    <xdr:to>
      <xdr:col>3</xdr:col>
      <xdr:colOff>95249</xdr:colOff>
      <xdr:row>18</xdr:row>
      <xdr:rowOff>190499</xdr:rowOff>
    </xdr:to>
    <xdr:grpSp>
      <xdr:nvGrpSpPr>
        <xdr:cNvPr id="20" name="Group 19">
          <a:extLst>
            <a:ext uri="{FF2B5EF4-FFF2-40B4-BE49-F238E27FC236}">
              <a16:creationId xmlns:a16="http://schemas.microsoft.com/office/drawing/2014/main" id="{1906B1A2-34DD-5F51-DBE9-6835907B13E3}"/>
            </a:ext>
          </a:extLst>
        </xdr:cNvPr>
        <xdr:cNvGrpSpPr/>
      </xdr:nvGrpSpPr>
      <xdr:grpSpPr>
        <a:xfrm>
          <a:off x="0" y="2139953"/>
          <a:ext cx="2131218" cy="1479546"/>
          <a:chOff x="23812" y="1789743"/>
          <a:chExt cx="2524124" cy="804495"/>
        </a:xfrm>
      </xdr:grpSpPr>
      <xdr:sp macro="" textlink="">
        <xdr:nvSpPr>
          <xdr:cNvPr id="4" name="Rectangle: Rounded Corners 3">
            <a:extLst>
              <a:ext uri="{FF2B5EF4-FFF2-40B4-BE49-F238E27FC236}">
                <a16:creationId xmlns:a16="http://schemas.microsoft.com/office/drawing/2014/main" id="{30AFEF68-EA19-4C8A-B3A8-D86C212A3934}"/>
              </a:ext>
            </a:extLst>
          </xdr:cNvPr>
          <xdr:cNvSpPr/>
        </xdr:nvSpPr>
        <xdr:spPr>
          <a:xfrm>
            <a:off x="132506" y="1789743"/>
            <a:ext cx="2301357" cy="80449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a:t>
            </a:r>
            <a:endParaRPr lang="en-KE" sz="1100"/>
          </a:p>
        </xdr:txBody>
      </xdr:sp>
      <xdr:sp macro="" textlink="">
        <xdr:nvSpPr>
          <xdr:cNvPr id="17" name="Rectangle: Rounded Corners 16">
            <a:extLst>
              <a:ext uri="{FF2B5EF4-FFF2-40B4-BE49-F238E27FC236}">
                <a16:creationId xmlns:a16="http://schemas.microsoft.com/office/drawing/2014/main" id="{4E6E3860-9A93-3DBD-B1D4-34D790C0DA83}"/>
              </a:ext>
            </a:extLst>
          </xdr:cNvPr>
          <xdr:cNvSpPr/>
        </xdr:nvSpPr>
        <xdr:spPr>
          <a:xfrm>
            <a:off x="23812" y="1905000"/>
            <a:ext cx="2524124" cy="30956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Total Neighbourhoods</a:t>
            </a:r>
            <a:endParaRPr lang="en-KE" sz="1400" b="1">
              <a:solidFill>
                <a:sysClr val="windowText" lastClr="000000"/>
              </a:solidFill>
            </a:endParaRPr>
          </a:p>
        </xdr:txBody>
      </xdr:sp>
      <xdr:sp macro="" textlink="Analysis!K23">
        <xdr:nvSpPr>
          <xdr:cNvPr id="18" name="Rectangle: Rounded Corners 17">
            <a:extLst>
              <a:ext uri="{FF2B5EF4-FFF2-40B4-BE49-F238E27FC236}">
                <a16:creationId xmlns:a16="http://schemas.microsoft.com/office/drawing/2014/main" id="{E3CB0F41-66E5-49DA-88D5-09E510564DC0}"/>
              </a:ext>
            </a:extLst>
          </xdr:cNvPr>
          <xdr:cNvSpPr/>
        </xdr:nvSpPr>
        <xdr:spPr>
          <a:xfrm>
            <a:off x="259557" y="2235993"/>
            <a:ext cx="2000250" cy="30956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488D5ED-E986-43A0-8C5C-FC614C6A11B9}" type="TxLink">
              <a:rPr lang="en-US" sz="4400" b="1" i="0" u="none" strike="noStrike">
                <a:solidFill>
                  <a:srgbClr val="000000"/>
                </a:solidFill>
                <a:latin typeface="Calibri"/>
                <a:cs typeface="Calibri"/>
              </a:rPr>
              <a:pPr algn="ctr"/>
              <a:t>15</a:t>
            </a:fld>
            <a:endParaRPr lang="en-KE" sz="4400" b="1"/>
          </a:p>
        </xdr:txBody>
      </xdr:sp>
    </xdr:grpSp>
    <xdr:clientData/>
  </xdr:twoCellAnchor>
  <xdr:twoCellAnchor>
    <xdr:from>
      <xdr:col>0</xdr:col>
      <xdr:colOff>101203</xdr:colOff>
      <xdr:row>19</xdr:row>
      <xdr:rowOff>119063</xdr:rowOff>
    </xdr:from>
    <xdr:to>
      <xdr:col>2</xdr:col>
      <xdr:colOff>821531</xdr:colOff>
      <xdr:row>27</xdr:row>
      <xdr:rowOff>178595</xdr:rowOff>
    </xdr:to>
    <xdr:grpSp>
      <xdr:nvGrpSpPr>
        <xdr:cNvPr id="24" name="Group 23">
          <a:extLst>
            <a:ext uri="{FF2B5EF4-FFF2-40B4-BE49-F238E27FC236}">
              <a16:creationId xmlns:a16="http://schemas.microsoft.com/office/drawing/2014/main" id="{84F1B344-E926-7F78-E463-775D9025A0F9}"/>
            </a:ext>
          </a:extLst>
        </xdr:cNvPr>
        <xdr:cNvGrpSpPr/>
      </xdr:nvGrpSpPr>
      <xdr:grpSpPr>
        <a:xfrm>
          <a:off x="101203" y="3738563"/>
          <a:ext cx="1934766" cy="1583532"/>
          <a:chOff x="72646" y="2800437"/>
          <a:chExt cx="2467753" cy="907226"/>
        </a:xfrm>
      </xdr:grpSpPr>
      <xdr:sp macro="" textlink="">
        <xdr:nvSpPr>
          <xdr:cNvPr id="6" name="Rectangle: Rounded Corners 5">
            <a:extLst>
              <a:ext uri="{FF2B5EF4-FFF2-40B4-BE49-F238E27FC236}">
                <a16:creationId xmlns:a16="http://schemas.microsoft.com/office/drawing/2014/main" id="{1DD7AA8F-F431-49C3-9268-FC5F4DB56E6A}"/>
              </a:ext>
            </a:extLst>
          </xdr:cNvPr>
          <xdr:cNvSpPr/>
        </xdr:nvSpPr>
        <xdr:spPr>
          <a:xfrm>
            <a:off x="72646" y="2800437"/>
            <a:ext cx="2467753" cy="90722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sp macro="" textlink="">
        <xdr:nvSpPr>
          <xdr:cNvPr id="22" name="Rectangle: Rounded Corners 21">
            <a:extLst>
              <a:ext uri="{FF2B5EF4-FFF2-40B4-BE49-F238E27FC236}">
                <a16:creationId xmlns:a16="http://schemas.microsoft.com/office/drawing/2014/main" id="{008CEDFD-4DF6-E952-4738-F5B1B772FD4F}"/>
              </a:ext>
            </a:extLst>
          </xdr:cNvPr>
          <xdr:cNvSpPr/>
        </xdr:nvSpPr>
        <xdr:spPr>
          <a:xfrm>
            <a:off x="179473" y="2905124"/>
            <a:ext cx="2190750" cy="2976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Top Property Type</a:t>
            </a:r>
            <a:endParaRPr lang="en-KE" sz="1400" b="1">
              <a:solidFill>
                <a:sysClr val="windowText" lastClr="000000"/>
              </a:solidFill>
            </a:endParaRPr>
          </a:p>
        </xdr:txBody>
      </xdr:sp>
      <xdr:sp macro="" textlink="Analysis!K24">
        <xdr:nvSpPr>
          <xdr:cNvPr id="23" name="Rectangle: Rounded Corners 22">
            <a:extLst>
              <a:ext uri="{FF2B5EF4-FFF2-40B4-BE49-F238E27FC236}">
                <a16:creationId xmlns:a16="http://schemas.microsoft.com/office/drawing/2014/main" id="{EB27E291-B689-4286-83C8-33159A178E0A}"/>
              </a:ext>
            </a:extLst>
          </xdr:cNvPr>
          <xdr:cNvSpPr/>
        </xdr:nvSpPr>
        <xdr:spPr>
          <a:xfrm>
            <a:off x="295275" y="3250406"/>
            <a:ext cx="2190750" cy="3905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9BDFEA5-AE4C-4E79-9595-FE721B78D6EE}" type="TxLink">
              <a:rPr lang="en-US" sz="2400" b="1" i="0" u="none" strike="noStrike">
                <a:solidFill>
                  <a:srgbClr val="000000"/>
                </a:solidFill>
                <a:latin typeface="Calibri"/>
                <a:cs typeface="Calibri"/>
              </a:rPr>
              <a:pPr algn="ctr"/>
              <a:t>Apartment</a:t>
            </a:fld>
            <a:endParaRPr lang="en-KE" sz="2400" b="1"/>
          </a:p>
        </xdr:txBody>
      </xdr:sp>
    </xdr:grpSp>
    <xdr:clientData/>
  </xdr:twoCellAnchor>
  <xdr:twoCellAnchor>
    <xdr:from>
      <xdr:col>0</xdr:col>
      <xdr:colOff>100013</xdr:colOff>
      <xdr:row>28</xdr:row>
      <xdr:rowOff>83344</xdr:rowOff>
    </xdr:from>
    <xdr:to>
      <xdr:col>3</xdr:col>
      <xdr:colOff>23812</xdr:colOff>
      <xdr:row>36</xdr:row>
      <xdr:rowOff>35720</xdr:rowOff>
    </xdr:to>
    <xdr:grpSp>
      <xdr:nvGrpSpPr>
        <xdr:cNvPr id="27" name="Group 26">
          <a:extLst>
            <a:ext uri="{FF2B5EF4-FFF2-40B4-BE49-F238E27FC236}">
              <a16:creationId xmlns:a16="http://schemas.microsoft.com/office/drawing/2014/main" id="{3FF09ADE-5F5C-052B-44F3-79E045A32A4A}"/>
            </a:ext>
          </a:extLst>
        </xdr:cNvPr>
        <xdr:cNvGrpSpPr/>
      </xdr:nvGrpSpPr>
      <xdr:grpSpPr>
        <a:xfrm>
          <a:off x="100013" y="5417344"/>
          <a:ext cx="1959768" cy="1476376"/>
          <a:chOff x="140493" y="3845893"/>
          <a:chExt cx="2407444" cy="871770"/>
        </a:xfrm>
      </xdr:grpSpPr>
      <xdr:sp macro="" textlink="">
        <xdr:nvSpPr>
          <xdr:cNvPr id="19" name="Rectangle: Rounded Corners 18">
            <a:extLst>
              <a:ext uri="{FF2B5EF4-FFF2-40B4-BE49-F238E27FC236}">
                <a16:creationId xmlns:a16="http://schemas.microsoft.com/office/drawing/2014/main" id="{EB3B2DBE-BB93-498A-B857-41BB6EC7F894}"/>
              </a:ext>
            </a:extLst>
          </xdr:cNvPr>
          <xdr:cNvSpPr/>
        </xdr:nvSpPr>
        <xdr:spPr>
          <a:xfrm>
            <a:off x="140493" y="3845893"/>
            <a:ext cx="2344485" cy="87177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sp macro="" textlink="">
        <xdr:nvSpPr>
          <xdr:cNvPr id="25" name="Rectangle: Rounded Corners 24">
            <a:extLst>
              <a:ext uri="{FF2B5EF4-FFF2-40B4-BE49-F238E27FC236}">
                <a16:creationId xmlns:a16="http://schemas.microsoft.com/office/drawing/2014/main" id="{B6A9391C-E24F-1BCD-C1F4-8FBE6D8B7857}"/>
              </a:ext>
            </a:extLst>
          </xdr:cNvPr>
          <xdr:cNvSpPr/>
        </xdr:nvSpPr>
        <xdr:spPr>
          <a:xfrm>
            <a:off x="345281" y="3988594"/>
            <a:ext cx="2202656" cy="22621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Total Property</a:t>
            </a:r>
            <a:r>
              <a:rPr lang="en-US" sz="1400" b="1" baseline="0">
                <a:solidFill>
                  <a:sysClr val="windowText" lastClr="000000"/>
                </a:solidFill>
              </a:rPr>
              <a:t> Types</a:t>
            </a:r>
            <a:endParaRPr lang="en-KE" sz="1400" b="1">
              <a:solidFill>
                <a:sysClr val="windowText" lastClr="000000"/>
              </a:solidFill>
            </a:endParaRPr>
          </a:p>
        </xdr:txBody>
      </xdr:sp>
      <xdr:sp macro="" textlink="Analysis!K25">
        <xdr:nvSpPr>
          <xdr:cNvPr id="26" name="Rectangle: Rounded Corners 25">
            <a:extLst>
              <a:ext uri="{FF2B5EF4-FFF2-40B4-BE49-F238E27FC236}">
                <a16:creationId xmlns:a16="http://schemas.microsoft.com/office/drawing/2014/main" id="{5AB86E48-8EA3-44C7-B4B5-CF2B28CA3686}"/>
              </a:ext>
            </a:extLst>
          </xdr:cNvPr>
          <xdr:cNvSpPr/>
        </xdr:nvSpPr>
        <xdr:spPr>
          <a:xfrm>
            <a:off x="295275" y="4299944"/>
            <a:ext cx="2202657" cy="30400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2349967-7516-4991-918D-9A2677A41827}" type="TxLink">
              <a:rPr lang="en-US" sz="4400" b="0" i="0" u="none" strike="noStrike">
                <a:solidFill>
                  <a:srgbClr val="000000"/>
                </a:solidFill>
                <a:latin typeface="Calibri"/>
                <a:cs typeface="Calibri"/>
              </a:rPr>
              <a:pPr algn="ctr"/>
              <a:t>4</a:t>
            </a:fld>
            <a:endParaRPr lang="en-KE" sz="4400"/>
          </a:p>
        </xdr:txBody>
      </xdr:sp>
    </xdr:grpSp>
    <xdr:clientData/>
  </xdr:twoCellAnchor>
  <xdr:twoCellAnchor>
    <xdr:from>
      <xdr:col>3</xdr:col>
      <xdr:colOff>270442</xdr:colOff>
      <xdr:row>15</xdr:row>
      <xdr:rowOff>166686</xdr:rowOff>
    </xdr:from>
    <xdr:to>
      <xdr:col>10</xdr:col>
      <xdr:colOff>535780</xdr:colOff>
      <xdr:row>26</xdr:row>
      <xdr:rowOff>23813</xdr:rowOff>
    </xdr:to>
    <xdr:graphicFrame macro="">
      <xdr:nvGraphicFramePr>
        <xdr:cNvPr id="30" name="Chart 8">
          <a:extLst>
            <a:ext uri="{FF2B5EF4-FFF2-40B4-BE49-F238E27FC236}">
              <a16:creationId xmlns:a16="http://schemas.microsoft.com/office/drawing/2014/main" id="{F823CCEC-19D5-4160-4900-213F1321D9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11906</xdr:colOff>
      <xdr:row>15</xdr:row>
      <xdr:rowOff>166687</xdr:rowOff>
    </xdr:from>
    <xdr:to>
      <xdr:col>18</xdr:col>
      <xdr:colOff>238125</xdr:colOff>
      <xdr:row>26</xdr:row>
      <xdr:rowOff>35719</xdr:rowOff>
    </xdr:to>
    <xdr:graphicFrame macro="">
      <xdr:nvGraphicFramePr>
        <xdr:cNvPr id="31" name="Chart 9">
          <a:extLst>
            <a:ext uri="{FF2B5EF4-FFF2-40B4-BE49-F238E27FC236}">
              <a16:creationId xmlns:a16="http://schemas.microsoft.com/office/drawing/2014/main" id="{116F76BF-592C-D934-3F17-A85BCA34B5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302759</xdr:colOff>
      <xdr:row>3</xdr:row>
      <xdr:rowOff>74158</xdr:rowOff>
    </xdr:from>
    <xdr:to>
      <xdr:col>25</xdr:col>
      <xdr:colOff>202406</xdr:colOff>
      <xdr:row>15</xdr:row>
      <xdr:rowOff>119063</xdr:rowOff>
    </xdr:to>
    <xdr:graphicFrame macro="">
      <xdr:nvGraphicFramePr>
        <xdr:cNvPr id="33" name="Chart 11">
          <a:extLst>
            <a:ext uri="{FF2B5EF4-FFF2-40B4-BE49-F238E27FC236}">
              <a16:creationId xmlns:a16="http://schemas.microsoft.com/office/drawing/2014/main" id="{06EC6E72-859E-3A9A-31CF-1D13526DC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309562</xdr:colOff>
      <xdr:row>15</xdr:row>
      <xdr:rowOff>166687</xdr:rowOff>
    </xdr:from>
    <xdr:to>
      <xdr:col>25</xdr:col>
      <xdr:colOff>202405</xdr:colOff>
      <xdr:row>26</xdr:row>
      <xdr:rowOff>23812</xdr:rowOff>
    </xdr:to>
    <xdr:graphicFrame macro="">
      <xdr:nvGraphicFramePr>
        <xdr:cNvPr id="9" name="Chart 1">
          <a:extLst>
            <a:ext uri="{FF2B5EF4-FFF2-40B4-BE49-F238E27FC236}">
              <a16:creationId xmlns:a16="http://schemas.microsoft.com/office/drawing/2014/main" id="{A5C8FF05-D398-C6F9-4A2A-235CC30F09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280647</xdr:colOff>
      <xdr:row>26</xdr:row>
      <xdr:rowOff>83344</xdr:rowOff>
    </xdr:from>
    <xdr:to>
      <xdr:col>10</xdr:col>
      <xdr:colOff>523875</xdr:colOff>
      <xdr:row>36</xdr:row>
      <xdr:rowOff>83344</xdr:rowOff>
    </xdr:to>
    <xdr:graphicFrame macro="">
      <xdr:nvGraphicFramePr>
        <xdr:cNvPr id="10" name="Chart 2">
          <a:extLst>
            <a:ext uri="{FF2B5EF4-FFF2-40B4-BE49-F238E27FC236}">
              <a16:creationId xmlns:a16="http://schemas.microsoft.com/office/drawing/2014/main" id="{CAA499CC-B550-1A3F-C80C-0B4B2DC138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18</xdr:col>
      <xdr:colOff>309563</xdr:colOff>
      <xdr:row>26</xdr:row>
      <xdr:rowOff>95253</xdr:rowOff>
    </xdr:from>
    <xdr:to>
      <xdr:col>21</xdr:col>
      <xdr:colOff>511969</xdr:colOff>
      <xdr:row>36</xdr:row>
      <xdr:rowOff>107156</xdr:rowOff>
    </xdr:to>
    <mc:AlternateContent xmlns:mc="http://schemas.openxmlformats.org/markup-compatibility/2006" xmlns:a14="http://schemas.microsoft.com/office/drawing/2010/main">
      <mc:Choice Requires="a14">
        <xdr:graphicFrame macro="">
          <xdr:nvGraphicFramePr>
            <xdr:cNvPr id="13" name="Property_Type">
              <a:extLst>
                <a:ext uri="{FF2B5EF4-FFF2-40B4-BE49-F238E27FC236}">
                  <a16:creationId xmlns:a16="http://schemas.microsoft.com/office/drawing/2014/main" id="{4557AEFD-DBB4-43C1-BE8C-B7394860B470}"/>
                </a:ext>
              </a:extLst>
            </xdr:cNvPr>
            <xdr:cNvGraphicFramePr/>
          </xdr:nvGraphicFramePr>
          <xdr:xfrm>
            <a:off x="0" y="0"/>
            <a:ext cx="0" cy="0"/>
          </xdr:xfrm>
          <a:graphic>
            <a:graphicData uri="http://schemas.microsoft.com/office/drawing/2010/slicer">
              <sle:slicer xmlns:sle="http://schemas.microsoft.com/office/drawing/2010/slicer" name="Property_Type"/>
            </a:graphicData>
          </a:graphic>
        </xdr:graphicFrame>
      </mc:Choice>
      <mc:Fallback xmlns="">
        <xdr:sp macro="" textlink="">
          <xdr:nvSpPr>
            <xdr:cNvPr id="0" name=""/>
            <xdr:cNvSpPr>
              <a:spLocks noTextEdit="1"/>
            </xdr:cNvSpPr>
          </xdr:nvSpPr>
          <xdr:spPr>
            <a:xfrm>
              <a:off x="11453813" y="5048253"/>
              <a:ext cx="2024062" cy="191690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11907</xdr:colOff>
      <xdr:row>26</xdr:row>
      <xdr:rowOff>95251</xdr:rowOff>
    </xdr:from>
    <xdr:to>
      <xdr:col>25</xdr:col>
      <xdr:colOff>202407</xdr:colOff>
      <xdr:row>36</xdr:row>
      <xdr:rowOff>119062</xdr:rowOff>
    </xdr:to>
    <mc:AlternateContent xmlns:mc="http://schemas.openxmlformats.org/markup-compatibility/2006" xmlns:a14="http://schemas.microsoft.com/office/drawing/2010/main">
      <mc:Choice Requires="a14">
        <xdr:graphicFrame macro="">
          <xdr:nvGraphicFramePr>
            <xdr:cNvPr id="21" name="Bedrooms">
              <a:extLst>
                <a:ext uri="{FF2B5EF4-FFF2-40B4-BE49-F238E27FC236}">
                  <a16:creationId xmlns:a16="http://schemas.microsoft.com/office/drawing/2014/main" id="{86C987BC-67E1-45A3-B74C-DFD248579769}"/>
                </a:ext>
              </a:extLst>
            </xdr:cNvPr>
            <xdr:cNvGraphicFramePr/>
          </xdr:nvGraphicFramePr>
          <xdr:xfrm>
            <a:off x="0" y="0"/>
            <a:ext cx="0" cy="0"/>
          </xdr:xfrm>
          <a:graphic>
            <a:graphicData uri="http://schemas.microsoft.com/office/drawing/2010/slicer">
              <sle:slicer xmlns:sle="http://schemas.microsoft.com/office/drawing/2010/slicer" name="Bedrooms"/>
            </a:graphicData>
          </a:graphic>
        </xdr:graphicFrame>
      </mc:Choice>
      <mc:Fallback xmlns="">
        <xdr:sp macro="" textlink="">
          <xdr:nvSpPr>
            <xdr:cNvPr id="0" name=""/>
            <xdr:cNvSpPr>
              <a:spLocks noTextEdit="1"/>
            </xdr:cNvSpPr>
          </xdr:nvSpPr>
          <xdr:spPr>
            <a:xfrm>
              <a:off x="13585032" y="5048251"/>
              <a:ext cx="2012156" cy="192881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26</xdr:row>
      <xdr:rowOff>95250</xdr:rowOff>
    </xdr:from>
    <xdr:to>
      <xdr:col>18</xdr:col>
      <xdr:colOff>250031</xdr:colOff>
      <xdr:row>36</xdr:row>
      <xdr:rowOff>83344</xdr:rowOff>
    </xdr:to>
    <mc:AlternateContent xmlns:mc="http://schemas.openxmlformats.org/markup-compatibility/2006" xmlns:a14="http://schemas.microsoft.com/office/drawing/2010/main">
      <mc:Choice Requires="a14">
        <xdr:graphicFrame macro="">
          <xdr:nvGraphicFramePr>
            <xdr:cNvPr id="28" name="Neighbourhood">
              <a:extLst>
                <a:ext uri="{FF2B5EF4-FFF2-40B4-BE49-F238E27FC236}">
                  <a16:creationId xmlns:a16="http://schemas.microsoft.com/office/drawing/2014/main" id="{2FDD890C-DEE8-4462-A43B-1813F6C6086A}"/>
                </a:ext>
              </a:extLst>
            </xdr:cNvPr>
            <xdr:cNvGraphicFramePr/>
          </xdr:nvGraphicFramePr>
          <xdr:xfrm>
            <a:off x="0" y="0"/>
            <a:ext cx="0" cy="0"/>
          </xdr:xfrm>
          <a:graphic>
            <a:graphicData uri="http://schemas.microsoft.com/office/drawing/2010/slicer">
              <sle:slicer xmlns:sle="http://schemas.microsoft.com/office/drawing/2010/slicer" name="Neighbourhood"/>
            </a:graphicData>
          </a:graphic>
        </xdr:graphicFrame>
      </mc:Choice>
      <mc:Fallback xmlns="">
        <xdr:sp macro="" textlink="">
          <xdr:nvSpPr>
            <xdr:cNvPr id="0" name=""/>
            <xdr:cNvSpPr>
              <a:spLocks noTextEdit="1"/>
            </xdr:cNvSpPr>
          </xdr:nvSpPr>
          <xdr:spPr>
            <a:xfrm>
              <a:off x="6893719" y="5048250"/>
              <a:ext cx="4500562" cy="1893094"/>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119062</xdr:colOff>
      <xdr:row>0</xdr:row>
      <xdr:rowOff>152400</xdr:rowOff>
    </xdr:from>
    <xdr:to>
      <xdr:col>25</xdr:col>
      <xdr:colOff>404812</xdr:colOff>
      <xdr:row>42</xdr:row>
      <xdr:rowOff>71437</xdr:rowOff>
    </xdr:to>
    <xdr:sp macro="" textlink="">
      <xdr:nvSpPr>
        <xdr:cNvPr id="2" name="TextBox 1">
          <a:extLst>
            <a:ext uri="{FF2B5EF4-FFF2-40B4-BE49-F238E27FC236}">
              <a16:creationId xmlns:a16="http://schemas.microsoft.com/office/drawing/2014/main" id="{610EFBAA-C418-4489-FFC2-EEC802D967B7}"/>
            </a:ext>
          </a:extLst>
        </xdr:cNvPr>
        <xdr:cNvSpPr txBox="1"/>
      </xdr:nvSpPr>
      <xdr:spPr>
        <a:xfrm>
          <a:off x="119062" y="152400"/>
          <a:ext cx="15466219" cy="7920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Key Insights:</a:t>
          </a:r>
        </a:p>
        <a:p>
          <a:endParaRPr lang="en-US" sz="2000" b="1"/>
        </a:p>
        <a:p>
          <a:r>
            <a:rPr lang="en-US" sz="1600" b="1"/>
            <a:t>1. Apartments are the most listed property type</a:t>
          </a:r>
        </a:p>
        <a:p>
          <a:r>
            <a:rPr lang="en-US" sz="1600"/>
            <a:t>Nearly three quarters of all sampled listings were apartments </a:t>
          </a:r>
          <a:r>
            <a:rPr lang="en-US" sz="1600" baseline="0"/>
            <a:t> with </a:t>
          </a:r>
          <a:r>
            <a:rPr lang="en-US" sz="1600"/>
            <a:t>194 out of 265 total listings (73%). This tells us that if you are looking for a rental in Nairobi, an apartment is most likely what you will find listed online. Houses came in second at 44 listings (17%), followed by townhouses at 19 (7%) and studios at 8 (3%).</a:t>
          </a:r>
        </a:p>
        <a:p>
          <a:endParaRPr lang="en-US" sz="1600"/>
        </a:p>
        <a:p>
          <a:r>
            <a:rPr lang="en-US" sz="1600" b="1"/>
            <a:t>2. Furnished homes are listed at higher prices</a:t>
          </a:r>
        </a:p>
        <a:p>
          <a:r>
            <a:rPr lang="en-US" sz="1600"/>
            <a:t>Furnished listings were consistently priced higher than unfurnished ones across all property types. The biggest gap was seen in houses as furnished houses averaged Ksh 704,500 compared to Ksh 332,085 for unfurnished ones, more than double the price. For apartments the difference was also clear ,furnished units averaged Ksh 182,462 compared to Ksh 109,575 for unfurnished.</a:t>
          </a:r>
        </a:p>
        <a:p>
          <a:endParaRPr lang="en-US" sz="1600"/>
        </a:p>
        <a:p>
          <a:r>
            <a:rPr lang="en-US" sz="1600" b="1"/>
            <a:t>3. Having a gym seems to come with a higher price tag</a:t>
          </a:r>
        </a:p>
        <a:p>
          <a:r>
            <a:rPr lang="en-US" sz="1600"/>
            <a:t>Across every property type in the sample, listings with gym access had higher average asking rents than those without. For apartments, gym listings averaged Ksh 144,786 compared to Ksh 101,971 without. For townhouses the gap was even wider ,</a:t>
          </a:r>
          <a:r>
            <a:rPr lang="en-US" sz="1600" baseline="0"/>
            <a:t> </a:t>
          </a:r>
          <a:r>
            <a:rPr lang="en-US" sz="1600"/>
            <a:t>Ksh 374,750 with gym versus Ksh 277,308 without.</a:t>
          </a:r>
        </a:p>
        <a:p>
          <a:endParaRPr lang="en-US" sz="1600"/>
        </a:p>
        <a:p>
          <a:r>
            <a:rPr lang="en-US" sz="1600" b="1"/>
            <a:t>4. Swimming pools are associated with higher asking rents</a:t>
          </a:r>
        </a:p>
        <a:p>
          <a:r>
            <a:rPr lang="en-US" sz="1600"/>
            <a:t>Properties with swimming pools were listed at noticeably higher rents than those without. Among houses, those with a pool averaged Ksh 474,500 compared to Ksh 312,104 without . For apartments the difference was Ksh 143,784 with pool versus Ksh 118,270 without.</a:t>
          </a:r>
        </a:p>
        <a:p>
          <a:endParaRPr lang="en-US" sz="1600"/>
        </a:p>
        <a:p>
          <a:r>
            <a:rPr lang="en-US" sz="1600" b="1"/>
            <a:t>5. The more the bedrooms the higher</a:t>
          </a:r>
          <a:r>
            <a:rPr lang="en-US" sz="1600" b="1" baseline="0"/>
            <a:t> the rent.</a:t>
          </a:r>
        </a:p>
        <a:p>
          <a:r>
            <a:rPr lang="en-US" sz="1600" baseline="0"/>
            <a:t>The </a:t>
          </a:r>
          <a:r>
            <a:rPr lang="en-US" sz="1600"/>
            <a:t>data shows a consistent pattern ; the more bedrooms a property has, the higher the asking rent tends to be. 1-bedroom units averaged Ksh 78,736, 2-bedroom averaged Ksh 118,364, 3-bedroom Ksh 160,582, 4-bedroom Ksh 263,705 and 5-bedroom Ksh 418,805. The only exception is 6-bedroom properties which averaged Ksh 368,000 , slightly lower than 5-bedroom , but with only 4 listings in that category this figure should be treated with caution as it may not be representative.</a:t>
          </a:r>
        </a:p>
        <a:p>
          <a:endParaRPr lang="en-US" sz="1600"/>
        </a:p>
        <a:p>
          <a:r>
            <a:rPr lang="en-US" sz="1600" b="1"/>
            <a:t>6. Some areas have very few listings</a:t>
          </a:r>
        </a:p>
        <a:p>
          <a:r>
            <a:rPr lang="en-US" sz="1600"/>
            <a:t>A number of neighborhoods had very few listings in the sample — Ruaka had just 5 listings, while Kasarani, Hurlingham and Ruiru each had 8. Any observations about these areas should be taken with caution as they may not represent their broader local markets. It also points to something broader — affordable rental areas in Nairobi are much less represented on platforms like BuyRentKenya compared to more upmarket neighborhoods where most areas had 21-25 listings.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LARY" refreshedDate="46193.997872106484" missingItemsLimit="0" createdVersion="8" refreshedVersion="8" minRefreshableVersion="3" recordCount="265" xr:uid="{A82361FD-D2B8-4C8A-97F8-522C397B82CE}">
  <cacheSource type="worksheet">
    <worksheetSource name="Table1"/>
  </cacheSource>
  <cacheFields count="18">
    <cacheField name="Neighbourhood" numFmtId="0">
      <sharedItems count="15">
        <s v="Westlands"/>
        <s v="Kilimani"/>
        <s v="Lavington"/>
        <s v="Karen"/>
        <s v="Runda"/>
        <s v="Parklands"/>
        <s v="Kileleshwa"/>
        <s v="Upper Hill"/>
        <s v="Hurlingham"/>
        <s v="Ngong Road"/>
        <s v="Roysambu"/>
        <s v="Kasarani"/>
        <s v="Ruiru"/>
        <s v="Syokimau"/>
        <s v="Ruaka"/>
      </sharedItems>
    </cacheField>
    <cacheField name="Property_ID" numFmtId="0">
      <sharedItems/>
    </cacheField>
    <cacheField name="Property_Type" numFmtId="0">
      <sharedItems count="4">
        <s v="Apartment"/>
        <s v="Townhouse"/>
        <s v="House"/>
        <s v="Studio"/>
      </sharedItems>
    </cacheField>
    <cacheField name="Bedrooms" numFmtId="0">
      <sharedItems containsSemiMixedTypes="0" containsString="0" containsNumber="1" containsInteger="1" minValue="0" maxValue="6" count="7">
        <n v="2"/>
        <n v="1"/>
        <n v="3"/>
        <n v="4"/>
        <n v="5"/>
        <n v="6"/>
        <n v="0"/>
      </sharedItems>
    </cacheField>
    <cacheField name="Bathrooms" numFmtId="0">
      <sharedItems containsSemiMixedTypes="0" containsString="0" containsNumber="1" containsInteger="1" minValue="1" maxValue="7"/>
    </cacheField>
    <cacheField name="Rent (ksh)" numFmtId="0">
      <sharedItems containsSemiMixedTypes="0" containsString="0" containsNumber="1" containsInteger="1" minValue="15000" maxValue="828000"/>
    </cacheField>
    <cacheField name="Furnished" numFmtId="0">
      <sharedItems count="2">
        <s v="Yes"/>
        <s v="No"/>
      </sharedItems>
    </cacheField>
    <cacheField name="Parking" numFmtId="0">
      <sharedItems/>
    </cacheField>
    <cacheField name="Gym" numFmtId="0">
      <sharedItems count="2">
        <s v="Yes"/>
        <s v="No"/>
      </sharedItems>
    </cacheField>
    <cacheField name="Swimming Pool" numFmtId="0">
      <sharedItems count="2">
        <s v="Yes"/>
        <s v="No"/>
      </sharedItems>
    </cacheField>
    <cacheField name="Service Charge Included" numFmtId="0">
      <sharedItems/>
    </cacheField>
    <cacheField name="Balcony" numFmtId="0">
      <sharedItems/>
    </cacheField>
    <cacheField name="Column1" numFmtId="0">
      <sharedItems/>
    </cacheField>
    <cacheField name="Column2" numFmtId="0">
      <sharedItems/>
    </cacheField>
    <cacheField name="Column3" numFmtId="0">
      <sharedItems/>
    </cacheField>
    <cacheField name="Column4" numFmtId="0">
      <sharedItems/>
    </cacheField>
    <cacheField name="Column5" numFmtId="0">
      <sharedItems/>
    </cacheField>
    <cacheField name="Balcony2" numFmtId="0">
      <sharedItems/>
    </cacheField>
  </cacheFields>
  <extLst>
    <ext xmlns:x14="http://schemas.microsoft.com/office/spreadsheetml/2009/9/main" uri="{725AE2AE-9491-48be-B2B4-4EB974FC3084}">
      <x14:pivotCacheDefinition pivotCacheId="21465478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x v="0"/>
    <s v="P-001"/>
    <x v="0"/>
    <x v="0"/>
    <n v="2"/>
    <n v="200000"/>
    <x v="0"/>
    <s v="Yes"/>
    <x v="0"/>
    <x v="0"/>
    <s v="Yes"/>
    <s v="Yes"/>
    <s v="Yes"/>
    <s v="Yes"/>
    <s v="Yes"/>
    <s v="Yes"/>
    <s v="Yes"/>
    <s v="Yes"/>
  </r>
  <r>
    <x v="0"/>
    <s v="P-002"/>
    <x v="0"/>
    <x v="1"/>
    <n v="2"/>
    <n v="150000"/>
    <x v="0"/>
    <s v="Yes"/>
    <x v="0"/>
    <x v="0"/>
    <s v="Yes"/>
    <s v="Yes"/>
    <s v="Yes"/>
    <s v="Yes"/>
    <s v="Yes"/>
    <s v="Yes"/>
    <s v="Yes"/>
    <s v="Yes"/>
  </r>
  <r>
    <x v="0"/>
    <s v="P-003"/>
    <x v="0"/>
    <x v="2"/>
    <n v="3"/>
    <n v="350000"/>
    <x v="0"/>
    <s v="Yes"/>
    <x v="0"/>
    <x v="0"/>
    <s v="Yes"/>
    <s v="Yes"/>
    <s v="Yes"/>
    <s v="Yes"/>
    <s v="Yes"/>
    <s v="Yes"/>
    <s v="Yes"/>
    <s v="Yes"/>
  </r>
  <r>
    <x v="0"/>
    <s v="P-004"/>
    <x v="0"/>
    <x v="2"/>
    <n v="3"/>
    <n v="230000"/>
    <x v="0"/>
    <s v="Yes"/>
    <x v="0"/>
    <x v="0"/>
    <s v="Yes"/>
    <s v="Yes"/>
    <s v="Yes"/>
    <s v="Yes"/>
    <s v="Yes"/>
    <s v="Yes"/>
    <s v="Yes"/>
    <s v="Yes"/>
  </r>
  <r>
    <x v="0"/>
    <s v="P-005"/>
    <x v="0"/>
    <x v="2"/>
    <n v="3"/>
    <n v="350000"/>
    <x v="0"/>
    <s v="Yes"/>
    <x v="1"/>
    <x v="1"/>
    <s v="Yes"/>
    <s v="Yes"/>
    <s v="Yes"/>
    <s v="Yes"/>
    <s v="No"/>
    <s v="No"/>
    <s v="Yes"/>
    <s v="Yes"/>
  </r>
  <r>
    <x v="0"/>
    <s v="P-006"/>
    <x v="0"/>
    <x v="1"/>
    <n v="1"/>
    <n v="130000"/>
    <x v="0"/>
    <s v="Yes"/>
    <x v="1"/>
    <x v="1"/>
    <s v="Yes"/>
    <s v="Yes"/>
    <s v="Yes"/>
    <s v="Yes"/>
    <s v="No"/>
    <s v="No"/>
    <s v="Yes"/>
    <s v="Yes"/>
  </r>
  <r>
    <x v="0"/>
    <s v="P-007"/>
    <x v="0"/>
    <x v="2"/>
    <n v="2"/>
    <n v="125000"/>
    <x v="1"/>
    <s v="Yes"/>
    <x v="0"/>
    <x v="1"/>
    <s v="Yes"/>
    <s v="Yes"/>
    <s v="No"/>
    <s v="Yes"/>
    <s v="Yes"/>
    <s v="No"/>
    <s v="Yes"/>
    <s v="Yes"/>
  </r>
  <r>
    <x v="0"/>
    <s v="P-008"/>
    <x v="0"/>
    <x v="3"/>
    <n v="4"/>
    <n v="170000"/>
    <x v="1"/>
    <s v="Yes"/>
    <x v="0"/>
    <x v="1"/>
    <s v="Yes"/>
    <s v="Yes"/>
    <s v="No"/>
    <s v="Yes"/>
    <s v="Yes"/>
    <s v="No"/>
    <s v="Yes"/>
    <s v="Yes"/>
  </r>
  <r>
    <x v="0"/>
    <s v="P-009"/>
    <x v="0"/>
    <x v="3"/>
    <n v="4"/>
    <n v="180000"/>
    <x v="1"/>
    <s v="Yes"/>
    <x v="0"/>
    <x v="1"/>
    <s v="Yes"/>
    <s v="Yes"/>
    <s v="No"/>
    <s v="Yes"/>
    <s v="Yes"/>
    <s v="No"/>
    <s v="Yes"/>
    <s v="Yes"/>
  </r>
  <r>
    <x v="0"/>
    <s v="P-010"/>
    <x v="0"/>
    <x v="3"/>
    <n v="4"/>
    <n v="160000"/>
    <x v="1"/>
    <s v="Yes"/>
    <x v="0"/>
    <x v="1"/>
    <s v="Yes"/>
    <s v="Yes"/>
    <s v="No"/>
    <s v="Yes"/>
    <s v="Yes"/>
    <s v="No"/>
    <s v="Yes"/>
    <s v="Yes"/>
  </r>
  <r>
    <x v="0"/>
    <s v="P-011"/>
    <x v="0"/>
    <x v="0"/>
    <n v="2"/>
    <n v="250000"/>
    <x v="0"/>
    <s v="Yes"/>
    <x v="0"/>
    <x v="1"/>
    <s v="Yes"/>
    <s v="Yes"/>
    <s v="Yes"/>
    <s v="Yes"/>
    <s v="Yes"/>
    <s v="No"/>
    <s v="Yes"/>
    <s v="Yes"/>
  </r>
  <r>
    <x v="0"/>
    <s v="P-012"/>
    <x v="0"/>
    <x v="0"/>
    <n v="2"/>
    <n v="145000"/>
    <x v="1"/>
    <s v="Yes"/>
    <x v="0"/>
    <x v="1"/>
    <s v="Yes"/>
    <s v="Yes"/>
    <s v="No"/>
    <s v="Yes"/>
    <s v="Yes"/>
    <s v="No"/>
    <s v="Yes"/>
    <s v="Yes"/>
  </r>
  <r>
    <x v="0"/>
    <s v="P-013"/>
    <x v="0"/>
    <x v="1"/>
    <n v="1"/>
    <n v="160000"/>
    <x v="0"/>
    <s v="Yes"/>
    <x v="0"/>
    <x v="1"/>
    <s v="Yes"/>
    <s v="Yes"/>
    <s v="Yes"/>
    <s v="Yes"/>
    <s v="Yes"/>
    <s v="No"/>
    <s v="Yes"/>
    <s v="Yes"/>
  </r>
  <r>
    <x v="0"/>
    <s v="P-014"/>
    <x v="0"/>
    <x v="1"/>
    <n v="1"/>
    <n v="80000"/>
    <x v="1"/>
    <s v="Yes"/>
    <x v="0"/>
    <x v="1"/>
    <s v="Yes"/>
    <s v="Yes"/>
    <s v="No"/>
    <s v="Yes"/>
    <s v="Yes"/>
    <s v="No"/>
    <s v="Yes"/>
    <s v="Yes"/>
  </r>
  <r>
    <x v="0"/>
    <s v="P-015"/>
    <x v="0"/>
    <x v="0"/>
    <n v="2"/>
    <n v="170000"/>
    <x v="0"/>
    <s v="Yes"/>
    <x v="0"/>
    <x v="1"/>
    <s v="Yes"/>
    <s v="Yes"/>
    <s v="Yes"/>
    <s v="Yes"/>
    <s v="Yes"/>
    <s v="No"/>
    <s v="Yes"/>
    <s v="Yes"/>
  </r>
  <r>
    <x v="0"/>
    <s v="P-016"/>
    <x v="0"/>
    <x v="1"/>
    <n v="1"/>
    <n v="125000"/>
    <x v="0"/>
    <s v="Yes"/>
    <x v="0"/>
    <x v="1"/>
    <s v="Yes"/>
    <s v="Yes"/>
    <s v="Yes"/>
    <s v="Yes"/>
    <s v="Yes"/>
    <s v="No"/>
    <s v="Yes"/>
    <s v="Yes"/>
  </r>
  <r>
    <x v="0"/>
    <s v="P-017"/>
    <x v="0"/>
    <x v="0"/>
    <n v="2"/>
    <n v="220000"/>
    <x v="0"/>
    <s v="Yes"/>
    <x v="0"/>
    <x v="1"/>
    <s v="Yes"/>
    <s v="Yes"/>
    <s v="Yes"/>
    <s v="Yes"/>
    <s v="Yes"/>
    <s v="No"/>
    <s v="Yes"/>
    <s v="Yes"/>
  </r>
  <r>
    <x v="0"/>
    <s v="P-018"/>
    <x v="0"/>
    <x v="0"/>
    <n v="2"/>
    <n v="230000"/>
    <x v="0"/>
    <s v="Yes"/>
    <x v="0"/>
    <x v="1"/>
    <s v="Yes"/>
    <s v="Yes"/>
    <s v="Yes"/>
    <s v="Yes"/>
    <s v="Yes"/>
    <s v="No"/>
    <s v="Yes"/>
    <s v="Yes"/>
  </r>
  <r>
    <x v="0"/>
    <s v="P-019"/>
    <x v="0"/>
    <x v="0"/>
    <n v="2"/>
    <n v="250000"/>
    <x v="0"/>
    <s v="Yes"/>
    <x v="0"/>
    <x v="1"/>
    <s v="Yes"/>
    <s v="Yes"/>
    <s v="Yes"/>
    <s v="Yes"/>
    <s v="Yes"/>
    <s v="No"/>
    <s v="Yes"/>
    <s v="Yes"/>
  </r>
  <r>
    <x v="0"/>
    <s v="P-020"/>
    <x v="0"/>
    <x v="0"/>
    <n v="2"/>
    <n v="240000"/>
    <x v="0"/>
    <s v="Yes"/>
    <x v="0"/>
    <x v="1"/>
    <s v="Yes"/>
    <s v="Yes"/>
    <s v="Yes"/>
    <s v="Yes"/>
    <s v="Yes"/>
    <s v="No"/>
    <s v="Yes"/>
    <s v="Yes"/>
  </r>
  <r>
    <x v="0"/>
    <s v="P-021"/>
    <x v="0"/>
    <x v="0"/>
    <n v="2"/>
    <n v="300000"/>
    <x v="0"/>
    <s v="Yes"/>
    <x v="0"/>
    <x v="1"/>
    <s v="Yes"/>
    <s v="Yes"/>
    <s v="Yes"/>
    <s v="Yes"/>
    <s v="Yes"/>
    <s v="No"/>
    <s v="Yes"/>
    <s v="Yes"/>
  </r>
  <r>
    <x v="0"/>
    <s v="P-022"/>
    <x v="0"/>
    <x v="0"/>
    <n v="2"/>
    <n v="90000"/>
    <x v="1"/>
    <s v="Yes"/>
    <x v="0"/>
    <x v="1"/>
    <s v="Yes"/>
    <s v="Yes"/>
    <s v="No"/>
    <s v="Yes"/>
    <s v="Yes"/>
    <s v="No"/>
    <s v="Yes"/>
    <s v="Yes"/>
  </r>
  <r>
    <x v="0"/>
    <s v="P-023"/>
    <x v="0"/>
    <x v="0"/>
    <n v="2"/>
    <n v="180000"/>
    <x v="1"/>
    <s v="Yes"/>
    <x v="0"/>
    <x v="1"/>
    <s v="Yes"/>
    <s v="Yes"/>
    <s v="No"/>
    <s v="Yes"/>
    <s v="Yes"/>
    <s v="No"/>
    <s v="Yes"/>
    <s v="Yes"/>
  </r>
  <r>
    <x v="0"/>
    <s v="P-024"/>
    <x v="0"/>
    <x v="3"/>
    <n v="5"/>
    <n v="250000"/>
    <x v="1"/>
    <s v="Yes"/>
    <x v="0"/>
    <x v="1"/>
    <s v="Yes"/>
    <s v="Yes"/>
    <s v="No"/>
    <s v="Yes"/>
    <s v="Yes"/>
    <s v="No"/>
    <s v="Yes"/>
    <s v="Yes"/>
  </r>
  <r>
    <x v="0"/>
    <s v="P-025"/>
    <x v="0"/>
    <x v="0"/>
    <n v="2"/>
    <n v="250000"/>
    <x v="0"/>
    <s v="Yes"/>
    <x v="0"/>
    <x v="1"/>
    <s v="Yes"/>
    <s v="Yes"/>
    <s v="Yes"/>
    <s v="Yes"/>
    <s v="Yes"/>
    <s v="No"/>
    <s v="Yes"/>
    <s v="Yes"/>
  </r>
  <r>
    <x v="1"/>
    <s v="P-026"/>
    <x v="0"/>
    <x v="0"/>
    <n v="2"/>
    <n v="130000"/>
    <x v="0"/>
    <s v="Yes"/>
    <x v="0"/>
    <x v="0"/>
    <s v="Yes"/>
    <s v="Yes"/>
    <s v="Yes"/>
    <s v="Yes"/>
    <s v="Yes"/>
    <s v="Yes"/>
    <s v="Yes"/>
    <s v="Yes"/>
  </r>
  <r>
    <x v="1"/>
    <s v="P-027"/>
    <x v="1"/>
    <x v="4"/>
    <n v="4"/>
    <n v="240000"/>
    <x v="1"/>
    <s v="Yes"/>
    <x v="1"/>
    <x v="1"/>
    <s v="Yes"/>
    <s v="Yes"/>
    <s v="No"/>
    <s v="Yes"/>
    <s v="No"/>
    <s v="No"/>
    <s v="Yes"/>
    <s v="Yes"/>
  </r>
  <r>
    <x v="1"/>
    <s v="P-028"/>
    <x v="0"/>
    <x v="0"/>
    <n v="2"/>
    <n v="90000"/>
    <x v="1"/>
    <s v="Yes"/>
    <x v="0"/>
    <x v="0"/>
    <s v="Yes"/>
    <s v="Yes"/>
    <s v="No"/>
    <s v="Yes"/>
    <s v="Yes"/>
    <s v="Yes"/>
    <s v="Yes"/>
    <s v="Yes"/>
  </r>
  <r>
    <x v="1"/>
    <s v="P-029"/>
    <x v="0"/>
    <x v="0"/>
    <n v="1"/>
    <n v="130000"/>
    <x v="0"/>
    <s v="Yes"/>
    <x v="0"/>
    <x v="0"/>
    <s v="Yes"/>
    <s v="Yes"/>
    <s v="Yes"/>
    <s v="Yes"/>
    <s v="Yes"/>
    <s v="Yes"/>
    <s v="Yes"/>
    <s v="Yes"/>
  </r>
  <r>
    <x v="1"/>
    <s v="P-030"/>
    <x v="0"/>
    <x v="2"/>
    <n v="2"/>
    <n v="130000"/>
    <x v="0"/>
    <s v="Yes"/>
    <x v="0"/>
    <x v="1"/>
    <s v="Yes"/>
    <s v="Yes"/>
    <s v="Yes"/>
    <s v="Yes"/>
    <s v="Yes"/>
    <s v="No"/>
    <s v="Yes"/>
    <s v="Yes"/>
  </r>
  <r>
    <x v="1"/>
    <s v="P-031"/>
    <x v="0"/>
    <x v="0"/>
    <n v="2"/>
    <n v="100000"/>
    <x v="0"/>
    <s v="Yes"/>
    <x v="1"/>
    <x v="1"/>
    <s v="Yes"/>
    <s v="Yes"/>
    <s v="Yes"/>
    <s v="Yes"/>
    <s v="No"/>
    <s v="No"/>
    <s v="Yes"/>
    <s v="Yes"/>
  </r>
  <r>
    <x v="1"/>
    <s v="P-032"/>
    <x v="0"/>
    <x v="2"/>
    <n v="3"/>
    <n v="75000"/>
    <x v="1"/>
    <s v="Yes"/>
    <x v="1"/>
    <x v="1"/>
    <s v="Yes"/>
    <s v="Yes"/>
    <s v="No"/>
    <s v="Yes"/>
    <s v="No"/>
    <s v="No"/>
    <s v="Yes"/>
    <s v="Yes"/>
  </r>
  <r>
    <x v="1"/>
    <s v="P-033"/>
    <x v="0"/>
    <x v="2"/>
    <n v="2"/>
    <n v="175000"/>
    <x v="0"/>
    <s v="Yes"/>
    <x v="1"/>
    <x v="1"/>
    <s v="Yes"/>
    <s v="Yes"/>
    <s v="Yes"/>
    <s v="Yes"/>
    <s v="No"/>
    <s v="No"/>
    <s v="Yes"/>
    <s v="Yes"/>
  </r>
  <r>
    <x v="1"/>
    <s v="P-034"/>
    <x v="0"/>
    <x v="0"/>
    <n v="2"/>
    <n v="150000"/>
    <x v="0"/>
    <s v="Yes"/>
    <x v="1"/>
    <x v="1"/>
    <s v="Yes"/>
    <s v="Yes"/>
    <s v="Yes"/>
    <s v="Yes"/>
    <s v="No"/>
    <s v="No"/>
    <s v="Yes"/>
    <s v="Yes"/>
  </r>
  <r>
    <x v="1"/>
    <s v="P-035"/>
    <x v="2"/>
    <x v="3"/>
    <n v="3"/>
    <n v="130000"/>
    <x v="1"/>
    <s v="Yes"/>
    <x v="1"/>
    <x v="1"/>
    <s v="Yes"/>
    <s v="Yes"/>
    <s v="No"/>
    <s v="Yes"/>
    <s v="No"/>
    <s v="No"/>
    <s v="Yes"/>
    <s v="Yes"/>
  </r>
  <r>
    <x v="1"/>
    <s v="P-036"/>
    <x v="0"/>
    <x v="1"/>
    <n v="1"/>
    <n v="75000"/>
    <x v="1"/>
    <s v="Yes"/>
    <x v="0"/>
    <x v="0"/>
    <s v="Yes"/>
    <s v="Yes"/>
    <s v="No"/>
    <s v="Yes"/>
    <s v="Yes"/>
    <s v="Yes"/>
    <s v="Yes"/>
    <s v="Yes"/>
  </r>
  <r>
    <x v="1"/>
    <s v="P-037"/>
    <x v="0"/>
    <x v="3"/>
    <n v="4"/>
    <n v="165000"/>
    <x v="1"/>
    <s v="Yes"/>
    <x v="0"/>
    <x v="0"/>
    <s v="Yes"/>
    <s v="Yes"/>
    <s v="No"/>
    <s v="Yes"/>
    <s v="Yes"/>
    <s v="Yes"/>
    <s v="Yes"/>
    <s v="Yes"/>
  </r>
  <r>
    <x v="1"/>
    <s v="P-038"/>
    <x v="0"/>
    <x v="1"/>
    <n v="1"/>
    <n v="160000"/>
    <x v="0"/>
    <s v="Yes"/>
    <x v="0"/>
    <x v="0"/>
    <s v="Yes"/>
    <s v="Yes"/>
    <s v="Yes"/>
    <s v="Yes"/>
    <s v="Yes"/>
    <s v="Yes"/>
    <s v="Yes"/>
    <s v="Yes"/>
  </r>
  <r>
    <x v="1"/>
    <s v="P-039"/>
    <x v="0"/>
    <x v="0"/>
    <n v="3"/>
    <n v="90000"/>
    <x v="1"/>
    <s v="Yes"/>
    <x v="0"/>
    <x v="0"/>
    <s v="Yes"/>
    <s v="Yes"/>
    <s v="No"/>
    <s v="Yes"/>
    <s v="Yes"/>
    <s v="Yes"/>
    <s v="Yes"/>
    <s v="Yes"/>
  </r>
  <r>
    <x v="1"/>
    <s v="P-040"/>
    <x v="0"/>
    <x v="2"/>
    <n v="4"/>
    <n v="140000"/>
    <x v="1"/>
    <s v="Yes"/>
    <x v="0"/>
    <x v="0"/>
    <s v="Yes"/>
    <s v="Yes"/>
    <s v="No"/>
    <s v="Yes"/>
    <s v="Yes"/>
    <s v="Yes"/>
    <s v="Yes"/>
    <s v="Yes"/>
  </r>
  <r>
    <x v="1"/>
    <s v="P-041"/>
    <x v="0"/>
    <x v="1"/>
    <n v="1"/>
    <n v="60000"/>
    <x v="1"/>
    <s v="Yes"/>
    <x v="0"/>
    <x v="1"/>
    <s v="Yes"/>
    <s v="Yes"/>
    <s v="No"/>
    <s v="Yes"/>
    <s v="Yes"/>
    <s v="No"/>
    <s v="Yes"/>
    <s v="Yes"/>
  </r>
  <r>
    <x v="1"/>
    <s v="P-042"/>
    <x v="0"/>
    <x v="1"/>
    <n v="2"/>
    <n v="150000"/>
    <x v="0"/>
    <s v="Yes"/>
    <x v="0"/>
    <x v="0"/>
    <s v="Yes"/>
    <s v="Yes"/>
    <s v="Yes"/>
    <s v="Yes"/>
    <s v="Yes"/>
    <s v="Yes"/>
    <s v="Yes"/>
    <s v="Yes"/>
  </r>
  <r>
    <x v="1"/>
    <s v="P-043"/>
    <x v="0"/>
    <x v="1"/>
    <n v="2"/>
    <n v="130000"/>
    <x v="0"/>
    <s v="Yes"/>
    <x v="0"/>
    <x v="0"/>
    <s v="Yes"/>
    <s v="Yes"/>
    <s v="Yes"/>
    <s v="Yes"/>
    <s v="Yes"/>
    <s v="Yes"/>
    <s v="Yes"/>
    <s v="Yes"/>
  </r>
  <r>
    <x v="1"/>
    <s v="P-044"/>
    <x v="0"/>
    <x v="1"/>
    <n v="2"/>
    <n v="120000"/>
    <x v="0"/>
    <s v="Yes"/>
    <x v="0"/>
    <x v="0"/>
    <s v="Yes"/>
    <s v="Yes"/>
    <s v="Yes"/>
    <s v="Yes"/>
    <s v="Yes"/>
    <s v="Yes"/>
    <s v="Yes"/>
    <s v="Yes"/>
  </r>
  <r>
    <x v="1"/>
    <s v="P-045"/>
    <x v="0"/>
    <x v="3"/>
    <n v="4"/>
    <n v="160000"/>
    <x v="1"/>
    <s v="Yes"/>
    <x v="0"/>
    <x v="0"/>
    <s v="Yes"/>
    <s v="Yes"/>
    <s v="No"/>
    <s v="Yes"/>
    <s v="Yes"/>
    <s v="Yes"/>
    <s v="Yes"/>
    <s v="Yes"/>
  </r>
  <r>
    <x v="1"/>
    <s v="P-046"/>
    <x v="0"/>
    <x v="0"/>
    <n v="2"/>
    <n v="120000"/>
    <x v="0"/>
    <s v="Yes"/>
    <x v="0"/>
    <x v="0"/>
    <s v="Yes"/>
    <s v="Yes"/>
    <s v="Yes"/>
    <s v="Yes"/>
    <s v="Yes"/>
    <s v="Yes"/>
    <s v="Yes"/>
    <s v="Yes"/>
  </r>
  <r>
    <x v="1"/>
    <s v="P-047"/>
    <x v="0"/>
    <x v="3"/>
    <n v="4"/>
    <n v="180000"/>
    <x v="1"/>
    <s v="Yes"/>
    <x v="0"/>
    <x v="1"/>
    <s v="Yes"/>
    <s v="Yes"/>
    <s v="No"/>
    <s v="Yes"/>
    <s v="Yes"/>
    <s v="No"/>
    <s v="Yes"/>
    <s v="Yes"/>
  </r>
  <r>
    <x v="1"/>
    <s v="P-048"/>
    <x v="0"/>
    <x v="0"/>
    <n v="3"/>
    <n v="120000"/>
    <x v="1"/>
    <s v="Yes"/>
    <x v="0"/>
    <x v="0"/>
    <s v="Yes"/>
    <s v="Yes"/>
    <s v="No"/>
    <s v="Yes"/>
    <s v="Yes"/>
    <s v="Yes"/>
    <s v="Yes"/>
    <s v="Yes"/>
  </r>
  <r>
    <x v="1"/>
    <s v="P-049"/>
    <x v="0"/>
    <x v="1"/>
    <n v="1"/>
    <n v="90000"/>
    <x v="0"/>
    <s v="Yes"/>
    <x v="0"/>
    <x v="1"/>
    <s v="Yes"/>
    <s v="Yes"/>
    <s v="Yes"/>
    <s v="Yes"/>
    <s v="Yes"/>
    <s v="No"/>
    <s v="Yes"/>
    <s v="Yes"/>
  </r>
  <r>
    <x v="1"/>
    <s v="P-050"/>
    <x v="0"/>
    <x v="2"/>
    <n v="3"/>
    <n v="150000"/>
    <x v="1"/>
    <s v="Yes"/>
    <x v="0"/>
    <x v="1"/>
    <s v="Yes"/>
    <s v="Yes"/>
    <s v="No"/>
    <s v="Yes"/>
    <s v="Yes"/>
    <s v="No"/>
    <s v="Yes"/>
    <s v="Yes"/>
  </r>
  <r>
    <x v="2"/>
    <s v="P-051"/>
    <x v="0"/>
    <x v="0"/>
    <n v="2"/>
    <n v="200000"/>
    <x v="0"/>
    <s v="Yes"/>
    <x v="0"/>
    <x v="0"/>
    <s v="Yes"/>
    <s v="Yes"/>
    <s v="Yes"/>
    <s v="Yes"/>
    <s v="Yes"/>
    <s v="Yes"/>
    <s v="Yes"/>
    <s v="Yes"/>
  </r>
  <r>
    <x v="2"/>
    <s v="P-052"/>
    <x v="0"/>
    <x v="0"/>
    <n v="2"/>
    <n v="85000"/>
    <x v="0"/>
    <s v="Yes"/>
    <x v="0"/>
    <x v="0"/>
    <s v="Yes"/>
    <s v="Yes"/>
    <s v="Yes"/>
    <s v="Yes"/>
    <s v="Yes"/>
    <s v="Yes"/>
    <s v="Yes"/>
    <s v="Yes"/>
  </r>
  <r>
    <x v="2"/>
    <s v="P-053"/>
    <x v="1"/>
    <x v="4"/>
    <n v="5"/>
    <n v="300000"/>
    <x v="0"/>
    <s v="Yes"/>
    <x v="1"/>
    <x v="1"/>
    <s v="Yes"/>
    <s v="Yes"/>
    <s v="Yes"/>
    <s v="Yes"/>
    <s v="No"/>
    <s v="No"/>
    <s v="Yes"/>
    <s v="Yes"/>
  </r>
  <r>
    <x v="2"/>
    <s v="P-054"/>
    <x v="0"/>
    <x v="1"/>
    <n v="1"/>
    <n v="60000"/>
    <x v="1"/>
    <s v="Yes"/>
    <x v="0"/>
    <x v="1"/>
    <s v="Yes"/>
    <s v="Yes"/>
    <s v="No"/>
    <s v="Yes"/>
    <s v="Yes"/>
    <s v="No"/>
    <s v="Yes"/>
    <s v="Yes"/>
  </r>
  <r>
    <x v="2"/>
    <s v="P-055"/>
    <x v="0"/>
    <x v="2"/>
    <n v="3"/>
    <n v="110000"/>
    <x v="1"/>
    <s v="Yes"/>
    <x v="0"/>
    <x v="1"/>
    <s v="Yes"/>
    <s v="Yes"/>
    <s v="No"/>
    <s v="Yes"/>
    <s v="Yes"/>
    <s v="No"/>
    <s v="Yes"/>
    <s v="Yes"/>
  </r>
  <r>
    <x v="2"/>
    <s v="P-056"/>
    <x v="0"/>
    <x v="1"/>
    <n v="1"/>
    <n v="65000"/>
    <x v="1"/>
    <s v="Yes"/>
    <x v="0"/>
    <x v="1"/>
    <s v="Yes"/>
    <s v="Yes"/>
    <s v="No"/>
    <s v="Yes"/>
    <s v="Yes"/>
    <s v="No"/>
    <s v="Yes"/>
    <s v="Yes"/>
  </r>
  <r>
    <x v="2"/>
    <s v="P-057"/>
    <x v="0"/>
    <x v="1"/>
    <n v="1"/>
    <n v="85000"/>
    <x v="0"/>
    <s v="Yes"/>
    <x v="0"/>
    <x v="1"/>
    <s v="Yes"/>
    <s v="Yes"/>
    <s v="Yes"/>
    <s v="Yes"/>
    <s v="Yes"/>
    <s v="No"/>
    <s v="Yes"/>
    <s v="Yes"/>
  </r>
  <r>
    <x v="2"/>
    <s v="P-058"/>
    <x v="0"/>
    <x v="1"/>
    <n v="1"/>
    <n v="85000"/>
    <x v="0"/>
    <s v="Yes"/>
    <x v="0"/>
    <x v="1"/>
    <s v="Yes"/>
    <s v="Yes"/>
    <s v="Yes"/>
    <s v="Yes"/>
    <s v="Yes"/>
    <s v="No"/>
    <s v="Yes"/>
    <s v="Yes"/>
  </r>
  <r>
    <x v="2"/>
    <s v="P-059"/>
    <x v="0"/>
    <x v="0"/>
    <n v="1"/>
    <n v="110000"/>
    <x v="0"/>
    <s v="Yes"/>
    <x v="0"/>
    <x v="1"/>
    <s v="Yes"/>
    <s v="Yes"/>
    <s v="Yes"/>
    <s v="Yes"/>
    <s v="Yes"/>
    <s v="No"/>
    <s v="Yes"/>
    <s v="Yes"/>
  </r>
  <r>
    <x v="2"/>
    <s v="P-060"/>
    <x v="0"/>
    <x v="2"/>
    <n v="4"/>
    <n v="160000"/>
    <x v="1"/>
    <s v="Yes"/>
    <x v="0"/>
    <x v="1"/>
    <s v="Yes"/>
    <s v="Yes"/>
    <s v="No"/>
    <s v="Yes"/>
    <s v="Yes"/>
    <s v="No"/>
    <s v="Yes"/>
    <s v="Yes"/>
  </r>
  <r>
    <x v="2"/>
    <s v="P-061"/>
    <x v="0"/>
    <x v="2"/>
    <n v="3"/>
    <n v="520000"/>
    <x v="0"/>
    <s v="Yes"/>
    <x v="0"/>
    <x v="0"/>
    <s v="Yes"/>
    <s v="Yes"/>
    <s v="Yes"/>
    <s v="Yes"/>
    <s v="Yes"/>
    <s v="Yes"/>
    <s v="Yes"/>
    <s v="Yes"/>
  </r>
  <r>
    <x v="2"/>
    <s v="P-062"/>
    <x v="0"/>
    <x v="0"/>
    <n v="3"/>
    <n v="75000"/>
    <x v="1"/>
    <s v="Yes"/>
    <x v="0"/>
    <x v="0"/>
    <s v="Yes"/>
    <s v="Yes"/>
    <s v="No"/>
    <s v="Yes"/>
    <s v="Yes"/>
    <s v="Yes"/>
    <s v="Yes"/>
    <s v="Yes"/>
  </r>
  <r>
    <x v="2"/>
    <s v="P-063"/>
    <x v="0"/>
    <x v="2"/>
    <n v="3"/>
    <n v="85000"/>
    <x v="1"/>
    <s v="Yes"/>
    <x v="0"/>
    <x v="0"/>
    <s v="Yes"/>
    <s v="Yes"/>
    <s v="No"/>
    <s v="Yes"/>
    <s v="Yes"/>
    <s v="Yes"/>
    <s v="Yes"/>
    <s v="Yes"/>
  </r>
  <r>
    <x v="2"/>
    <s v="P-064"/>
    <x v="0"/>
    <x v="0"/>
    <n v="2"/>
    <n v="80000"/>
    <x v="0"/>
    <s v="Yes"/>
    <x v="0"/>
    <x v="0"/>
    <s v="Yes"/>
    <s v="Yes"/>
    <s v="Yes"/>
    <s v="Yes"/>
    <s v="Yes"/>
    <s v="Yes"/>
    <s v="Yes"/>
    <s v="Yes"/>
  </r>
  <r>
    <x v="2"/>
    <s v="P-065"/>
    <x v="0"/>
    <x v="1"/>
    <n v="1"/>
    <n v="60000"/>
    <x v="1"/>
    <s v="Yes"/>
    <x v="0"/>
    <x v="0"/>
    <s v="Yes"/>
    <s v="Yes"/>
    <s v="No"/>
    <s v="Yes"/>
    <s v="Yes"/>
    <s v="Yes"/>
    <s v="Yes"/>
    <s v="Yes"/>
  </r>
  <r>
    <x v="2"/>
    <s v="P-066"/>
    <x v="0"/>
    <x v="0"/>
    <n v="2"/>
    <n v="200000"/>
    <x v="0"/>
    <s v="Yes"/>
    <x v="0"/>
    <x v="0"/>
    <s v="Yes"/>
    <s v="Yes"/>
    <s v="Yes"/>
    <s v="Yes"/>
    <s v="Yes"/>
    <s v="Yes"/>
    <s v="Yes"/>
    <s v="Yes"/>
  </r>
  <r>
    <x v="2"/>
    <s v="P-067"/>
    <x v="0"/>
    <x v="0"/>
    <n v="2"/>
    <n v="200000"/>
    <x v="1"/>
    <s v="Yes"/>
    <x v="1"/>
    <x v="0"/>
    <s v="Yes"/>
    <s v="Yes"/>
    <s v="No"/>
    <s v="Yes"/>
    <s v="No"/>
    <s v="Yes"/>
    <s v="Yes"/>
    <s v="Yes"/>
  </r>
  <r>
    <x v="2"/>
    <s v="P-068"/>
    <x v="0"/>
    <x v="0"/>
    <n v="2"/>
    <n v="80000"/>
    <x v="1"/>
    <s v="Yes"/>
    <x v="0"/>
    <x v="0"/>
    <s v="Yes"/>
    <s v="Yes"/>
    <s v="No"/>
    <s v="Yes"/>
    <s v="Yes"/>
    <s v="Yes"/>
    <s v="Yes"/>
    <s v="Yes"/>
  </r>
  <r>
    <x v="2"/>
    <s v="P-069"/>
    <x v="0"/>
    <x v="4"/>
    <n v="5"/>
    <n v="400000"/>
    <x v="1"/>
    <s v="Yes"/>
    <x v="1"/>
    <x v="1"/>
    <s v="Yes"/>
    <s v="Yes"/>
    <s v="No"/>
    <s v="Yes"/>
    <s v="No"/>
    <s v="No"/>
    <s v="Yes"/>
    <s v="Yes"/>
  </r>
  <r>
    <x v="2"/>
    <s v="P-070"/>
    <x v="2"/>
    <x v="4"/>
    <n v="6"/>
    <n v="780000"/>
    <x v="1"/>
    <s v="Yes"/>
    <x v="1"/>
    <x v="0"/>
    <s v="Yes"/>
    <s v="Yes"/>
    <s v="No"/>
    <s v="Yes"/>
    <s v="No"/>
    <s v="Yes"/>
    <s v="Yes"/>
    <s v="Yes"/>
  </r>
  <r>
    <x v="2"/>
    <s v="P-071"/>
    <x v="0"/>
    <x v="1"/>
    <n v="1"/>
    <n v="68000"/>
    <x v="1"/>
    <s v="Yes"/>
    <x v="0"/>
    <x v="0"/>
    <s v="Yes"/>
    <s v="Yes"/>
    <s v="No"/>
    <s v="Yes"/>
    <s v="Yes"/>
    <s v="Yes"/>
    <s v="Yes"/>
    <s v="Yes"/>
  </r>
  <r>
    <x v="2"/>
    <s v="P-072"/>
    <x v="0"/>
    <x v="2"/>
    <n v="3"/>
    <n v="85000"/>
    <x v="1"/>
    <s v="Yes"/>
    <x v="1"/>
    <x v="1"/>
    <s v="Yes"/>
    <s v="Yes"/>
    <s v="No"/>
    <s v="Yes"/>
    <s v="No"/>
    <s v="No"/>
    <s v="Yes"/>
    <s v="Yes"/>
  </r>
  <r>
    <x v="2"/>
    <s v="P-073"/>
    <x v="2"/>
    <x v="5"/>
    <n v="6"/>
    <n v="712000"/>
    <x v="0"/>
    <s v="Yes"/>
    <x v="1"/>
    <x v="1"/>
    <s v="Yes"/>
    <s v="Yes"/>
    <s v="Yes"/>
    <s v="Yes"/>
    <s v="No"/>
    <s v="No"/>
    <s v="Yes"/>
    <s v="Yes"/>
  </r>
  <r>
    <x v="2"/>
    <s v="P-074"/>
    <x v="1"/>
    <x v="4"/>
    <n v="5"/>
    <n v="350000"/>
    <x v="1"/>
    <s v="Yes"/>
    <x v="1"/>
    <x v="1"/>
    <s v="Yes"/>
    <s v="Yes"/>
    <s v="No"/>
    <s v="Yes"/>
    <s v="No"/>
    <s v="No"/>
    <s v="Yes"/>
    <s v="Yes"/>
  </r>
  <r>
    <x v="2"/>
    <s v="P-075"/>
    <x v="2"/>
    <x v="4"/>
    <n v="5"/>
    <n v="440000"/>
    <x v="1"/>
    <s v="Yes"/>
    <x v="1"/>
    <x v="1"/>
    <s v="Yes"/>
    <s v="Yes"/>
    <s v="No"/>
    <s v="Yes"/>
    <s v="No"/>
    <s v="No"/>
    <s v="Yes"/>
    <s v="Yes"/>
  </r>
  <r>
    <x v="3"/>
    <s v="P-076"/>
    <x v="2"/>
    <x v="4"/>
    <n v="4"/>
    <n v="350000"/>
    <x v="1"/>
    <s v="Yes"/>
    <x v="1"/>
    <x v="1"/>
    <s v="Yes"/>
    <s v="Yes"/>
    <s v="No"/>
    <s v="Yes"/>
    <s v="No"/>
    <s v="No"/>
    <s v="Yes"/>
    <s v="Yes"/>
  </r>
  <r>
    <x v="3"/>
    <s v="P-077"/>
    <x v="2"/>
    <x v="3"/>
    <n v="4"/>
    <n v="360000"/>
    <x v="1"/>
    <s v="Yes"/>
    <x v="1"/>
    <x v="0"/>
    <s v="Yes"/>
    <s v="Yes"/>
    <s v="No"/>
    <s v="Yes"/>
    <s v="No"/>
    <s v="Yes"/>
    <s v="Yes"/>
    <s v="Yes"/>
  </r>
  <r>
    <x v="3"/>
    <s v="P-078"/>
    <x v="2"/>
    <x v="4"/>
    <n v="6"/>
    <n v="450000"/>
    <x v="1"/>
    <s v="Yes"/>
    <x v="1"/>
    <x v="1"/>
    <s v="Yes"/>
    <s v="Yes"/>
    <s v="No"/>
    <s v="Yes"/>
    <s v="No"/>
    <s v="No"/>
    <s v="Yes"/>
    <s v="Yes"/>
  </r>
  <r>
    <x v="3"/>
    <s v="P-079"/>
    <x v="2"/>
    <x v="2"/>
    <n v="3"/>
    <n v="350000"/>
    <x v="1"/>
    <s v="Yes"/>
    <x v="1"/>
    <x v="1"/>
    <s v="Yes"/>
    <s v="Yes"/>
    <s v="No"/>
    <s v="Yes"/>
    <s v="No"/>
    <s v="No"/>
    <s v="Yes"/>
    <s v="Yes"/>
  </r>
  <r>
    <x v="3"/>
    <s v="P-080"/>
    <x v="1"/>
    <x v="0"/>
    <n v="2"/>
    <n v="65000"/>
    <x v="1"/>
    <s v="Yes"/>
    <x v="1"/>
    <x v="1"/>
    <s v="Yes"/>
    <s v="Yes"/>
    <s v="No"/>
    <s v="Yes"/>
    <s v="No"/>
    <s v="No"/>
    <s v="Yes"/>
    <s v="Yes"/>
  </r>
  <r>
    <x v="3"/>
    <s v="P-081"/>
    <x v="2"/>
    <x v="3"/>
    <n v="4"/>
    <n v="500000"/>
    <x v="1"/>
    <s v="Yes"/>
    <x v="1"/>
    <x v="1"/>
    <s v="Yes"/>
    <s v="Yes"/>
    <s v="No"/>
    <s v="Yes"/>
    <s v="No"/>
    <s v="No"/>
    <s v="Yes"/>
    <s v="Yes"/>
  </r>
  <r>
    <x v="3"/>
    <s v="P-082"/>
    <x v="2"/>
    <x v="0"/>
    <n v="1"/>
    <n v="100000"/>
    <x v="1"/>
    <s v="Yes"/>
    <x v="1"/>
    <x v="1"/>
    <s v="Yes"/>
    <s v="Yes"/>
    <s v="No"/>
    <s v="Yes"/>
    <s v="No"/>
    <s v="No"/>
    <s v="Yes"/>
    <s v="Yes"/>
  </r>
  <r>
    <x v="3"/>
    <s v="P-083"/>
    <x v="2"/>
    <x v="4"/>
    <n v="5"/>
    <n v="400000"/>
    <x v="1"/>
    <s v="Yes"/>
    <x v="1"/>
    <x v="1"/>
    <s v="Yes"/>
    <s v="Yes"/>
    <s v="No"/>
    <s v="Yes"/>
    <s v="No"/>
    <s v="No"/>
    <s v="Yes"/>
    <s v="Yes"/>
  </r>
  <r>
    <x v="3"/>
    <s v="P-084"/>
    <x v="2"/>
    <x v="2"/>
    <n v="2"/>
    <n v="130000"/>
    <x v="1"/>
    <s v="Yes"/>
    <x v="1"/>
    <x v="1"/>
    <s v="Yes"/>
    <s v="Yes"/>
    <s v="No"/>
    <s v="Yes"/>
    <s v="No"/>
    <s v="No"/>
    <s v="Yes"/>
    <s v="Yes"/>
  </r>
  <r>
    <x v="3"/>
    <s v="P-085"/>
    <x v="2"/>
    <x v="4"/>
    <n v="5"/>
    <n v="300000"/>
    <x v="1"/>
    <s v="Yes"/>
    <x v="1"/>
    <x v="1"/>
    <s v="Yes"/>
    <s v="Yes"/>
    <s v="No"/>
    <s v="Yes"/>
    <s v="No"/>
    <s v="No"/>
    <s v="Yes"/>
    <s v="Yes"/>
  </r>
  <r>
    <x v="3"/>
    <s v="P-086"/>
    <x v="2"/>
    <x v="0"/>
    <n v="1"/>
    <n v="75000"/>
    <x v="1"/>
    <s v="Yes"/>
    <x v="1"/>
    <x v="1"/>
    <s v="Yes"/>
    <s v="Yes"/>
    <s v="No"/>
    <s v="Yes"/>
    <s v="No"/>
    <s v="No"/>
    <s v="Yes"/>
    <s v="Yes"/>
  </r>
  <r>
    <x v="3"/>
    <s v="P-087"/>
    <x v="2"/>
    <x v="0"/>
    <n v="1"/>
    <n v="100000"/>
    <x v="1"/>
    <s v="Yes"/>
    <x v="1"/>
    <x v="1"/>
    <s v="Yes"/>
    <s v="Yes"/>
    <s v="No"/>
    <s v="Yes"/>
    <s v="No"/>
    <s v="No"/>
    <s v="Yes"/>
    <s v="Yes"/>
  </r>
  <r>
    <x v="3"/>
    <s v="P-088"/>
    <x v="2"/>
    <x v="3"/>
    <n v="5"/>
    <n v="430000"/>
    <x v="1"/>
    <s v="Yes"/>
    <x v="1"/>
    <x v="1"/>
    <s v="Yes"/>
    <s v="Yes"/>
    <s v="No"/>
    <s v="Yes"/>
    <s v="No"/>
    <s v="No"/>
    <s v="Yes"/>
    <s v="Yes"/>
  </r>
  <r>
    <x v="3"/>
    <s v="P-089"/>
    <x v="0"/>
    <x v="2"/>
    <n v="2"/>
    <n v="180000"/>
    <x v="1"/>
    <s v="Yes"/>
    <x v="1"/>
    <x v="1"/>
    <s v="Yes"/>
    <s v="Yes"/>
    <s v="No"/>
    <s v="Yes"/>
    <s v="No"/>
    <s v="No"/>
    <s v="Yes"/>
    <s v="Yes"/>
  </r>
  <r>
    <x v="3"/>
    <s v="P-090"/>
    <x v="2"/>
    <x v="4"/>
    <n v="5"/>
    <n v="697000"/>
    <x v="0"/>
    <s v="Yes"/>
    <x v="0"/>
    <x v="0"/>
    <s v="Yes"/>
    <s v="Yes"/>
    <s v="Yes"/>
    <s v="Yes"/>
    <s v="Yes"/>
    <s v="Yes"/>
    <s v="Yes"/>
    <s v="Yes"/>
  </r>
  <r>
    <x v="3"/>
    <s v="P-091"/>
    <x v="2"/>
    <x v="4"/>
    <n v="5"/>
    <n v="750000"/>
    <x v="1"/>
    <s v="Yes"/>
    <x v="0"/>
    <x v="0"/>
    <s v="Yes"/>
    <s v="Yes"/>
    <s v="No"/>
    <s v="Yes"/>
    <s v="Yes"/>
    <s v="Yes"/>
    <s v="Yes"/>
    <s v="Yes"/>
  </r>
  <r>
    <x v="3"/>
    <s v="P-092"/>
    <x v="0"/>
    <x v="2"/>
    <n v="3"/>
    <n v="120000"/>
    <x v="1"/>
    <s v="Yes"/>
    <x v="0"/>
    <x v="0"/>
    <s v="Yes"/>
    <s v="Yes"/>
    <s v="No"/>
    <s v="Yes"/>
    <s v="Yes"/>
    <s v="Yes"/>
    <s v="Yes"/>
    <s v="Yes"/>
  </r>
  <r>
    <x v="3"/>
    <s v="P-093"/>
    <x v="1"/>
    <x v="5"/>
    <n v="6"/>
    <n v="470000"/>
    <x v="1"/>
    <s v="Yes"/>
    <x v="1"/>
    <x v="1"/>
    <s v="Yes"/>
    <s v="Yes"/>
    <s v="No"/>
    <s v="Yes"/>
    <s v="No"/>
    <s v="No"/>
    <s v="Yes"/>
    <s v="Yes"/>
  </r>
  <r>
    <x v="3"/>
    <s v="P-094"/>
    <x v="1"/>
    <x v="3"/>
    <n v="4"/>
    <n v="350000"/>
    <x v="1"/>
    <s v="Yes"/>
    <x v="1"/>
    <x v="0"/>
    <s v="Yes"/>
    <s v="Yes"/>
    <s v="No"/>
    <s v="Yes"/>
    <s v="No"/>
    <s v="Yes"/>
    <s v="Yes"/>
    <s v="Yes"/>
  </r>
  <r>
    <x v="3"/>
    <s v="P-095"/>
    <x v="1"/>
    <x v="3"/>
    <n v="5"/>
    <n v="450000"/>
    <x v="1"/>
    <s v="Yes"/>
    <x v="1"/>
    <x v="1"/>
    <s v="Yes"/>
    <s v="Yes"/>
    <s v="No"/>
    <s v="Yes"/>
    <s v="No"/>
    <s v="No"/>
    <s v="Yes"/>
    <s v="Yes"/>
  </r>
  <r>
    <x v="3"/>
    <s v="P-096"/>
    <x v="1"/>
    <x v="3"/>
    <n v="5"/>
    <n v="460000"/>
    <x v="1"/>
    <s v="Yes"/>
    <x v="0"/>
    <x v="0"/>
    <s v="Yes"/>
    <s v="Yes"/>
    <s v="No"/>
    <s v="Yes"/>
    <s v="Yes"/>
    <s v="Yes"/>
    <s v="Yes"/>
    <s v="Yes"/>
  </r>
  <r>
    <x v="3"/>
    <s v="P-097"/>
    <x v="2"/>
    <x v="4"/>
    <n v="5"/>
    <n v="320000"/>
    <x v="1"/>
    <s v="Yes"/>
    <x v="1"/>
    <x v="1"/>
    <s v="Yes"/>
    <s v="Yes"/>
    <s v="No"/>
    <s v="Yes"/>
    <s v="No"/>
    <s v="No"/>
    <s v="Yes"/>
    <s v="Yes"/>
  </r>
  <r>
    <x v="3"/>
    <s v="P-098"/>
    <x v="2"/>
    <x v="0"/>
    <n v="2"/>
    <n v="100000"/>
    <x v="1"/>
    <s v="Yes"/>
    <x v="1"/>
    <x v="1"/>
    <s v="Yes"/>
    <s v="Yes"/>
    <s v="No"/>
    <s v="Yes"/>
    <s v="No"/>
    <s v="No"/>
    <s v="Yes"/>
    <s v="Yes"/>
  </r>
  <r>
    <x v="3"/>
    <s v="P-099"/>
    <x v="2"/>
    <x v="2"/>
    <n v="3"/>
    <n v="200000"/>
    <x v="1"/>
    <s v="Yes"/>
    <x v="1"/>
    <x v="1"/>
    <s v="Yes"/>
    <s v="Yes"/>
    <s v="No"/>
    <s v="Yes"/>
    <s v="No"/>
    <s v="No"/>
    <s v="Yes"/>
    <s v="Yes"/>
  </r>
  <r>
    <x v="3"/>
    <s v="P-100"/>
    <x v="2"/>
    <x v="4"/>
    <n v="5"/>
    <n v="300000"/>
    <x v="1"/>
    <s v="Yes"/>
    <x v="1"/>
    <x v="1"/>
    <s v="Yes"/>
    <s v="Yes"/>
    <s v="No"/>
    <s v="Yes"/>
    <s v="No"/>
    <s v="No"/>
    <s v="Yes"/>
    <s v="Yes"/>
  </r>
  <r>
    <x v="4"/>
    <s v="P-101"/>
    <x v="2"/>
    <x v="4"/>
    <n v="6"/>
    <n v="520000"/>
    <x v="1"/>
    <s v="Yes"/>
    <x v="0"/>
    <x v="1"/>
    <s v="Yes"/>
    <s v="Yes"/>
    <s v="No"/>
    <s v="Yes"/>
    <s v="Yes"/>
    <s v="No"/>
    <s v="Yes"/>
    <s v="Yes"/>
  </r>
  <r>
    <x v="4"/>
    <s v="P-102"/>
    <x v="2"/>
    <x v="4"/>
    <n v="4"/>
    <n v="828000"/>
    <x v="1"/>
    <s v="Yes"/>
    <x v="0"/>
    <x v="0"/>
    <s v="Yes"/>
    <s v="Yes"/>
    <s v="No"/>
    <s v="Yes"/>
    <s v="Yes"/>
    <s v="Yes"/>
    <s v="Yes"/>
    <s v="Yes"/>
  </r>
  <r>
    <x v="4"/>
    <s v="P-103"/>
    <x v="0"/>
    <x v="0"/>
    <n v="2"/>
    <n v="135000"/>
    <x v="1"/>
    <s v="Yes"/>
    <x v="1"/>
    <x v="1"/>
    <s v="Yes"/>
    <s v="Yes"/>
    <s v="No"/>
    <s v="Yes"/>
    <s v="No"/>
    <s v="No"/>
    <s v="Yes"/>
    <s v="Yes"/>
  </r>
  <r>
    <x v="4"/>
    <s v="P-104"/>
    <x v="2"/>
    <x v="3"/>
    <n v="5"/>
    <n v="400000"/>
    <x v="1"/>
    <s v="Yes"/>
    <x v="1"/>
    <x v="0"/>
    <s v="Yes"/>
    <s v="Yes"/>
    <s v="No"/>
    <s v="Yes"/>
    <s v="No"/>
    <s v="Yes"/>
    <s v="Yes"/>
    <s v="Yes"/>
  </r>
  <r>
    <x v="4"/>
    <s v="P-105"/>
    <x v="1"/>
    <x v="2"/>
    <n v="3"/>
    <n v="270000"/>
    <x v="1"/>
    <s v="Yes"/>
    <x v="1"/>
    <x v="1"/>
    <s v="Yes"/>
    <s v="Yes"/>
    <s v="No"/>
    <s v="Yes"/>
    <s v="No"/>
    <s v="No"/>
    <s v="Yes"/>
    <s v="Yes"/>
  </r>
  <r>
    <x v="4"/>
    <s v="P-106"/>
    <x v="2"/>
    <x v="3"/>
    <n v="4"/>
    <n v="250000"/>
    <x v="1"/>
    <s v="Yes"/>
    <x v="1"/>
    <x v="1"/>
    <s v="Yes"/>
    <s v="Yes"/>
    <s v="No"/>
    <s v="Yes"/>
    <s v="No"/>
    <s v="No"/>
    <s v="Yes"/>
    <s v="Yes"/>
  </r>
  <r>
    <x v="4"/>
    <s v="P-107"/>
    <x v="0"/>
    <x v="0"/>
    <n v="2"/>
    <n v="323625"/>
    <x v="0"/>
    <s v="Yes"/>
    <x v="0"/>
    <x v="0"/>
    <s v="Yes"/>
    <s v="Yes"/>
    <s v="Yes"/>
    <s v="Yes"/>
    <s v="Yes"/>
    <s v="Yes"/>
    <s v="Yes"/>
    <s v="Yes"/>
  </r>
  <r>
    <x v="4"/>
    <s v="P-108"/>
    <x v="2"/>
    <x v="3"/>
    <n v="4"/>
    <n v="350000"/>
    <x v="1"/>
    <s v="Yes"/>
    <x v="1"/>
    <x v="1"/>
    <s v="Yes"/>
    <s v="Yes"/>
    <s v="No"/>
    <s v="Yes"/>
    <s v="No"/>
    <s v="No"/>
    <s v="Yes"/>
    <s v="Yes"/>
  </r>
  <r>
    <x v="4"/>
    <s v="P-109"/>
    <x v="2"/>
    <x v="3"/>
    <n v="4"/>
    <n v="300000"/>
    <x v="1"/>
    <s v="Yes"/>
    <x v="1"/>
    <x v="1"/>
    <s v="Yes"/>
    <s v="Yes"/>
    <s v="No"/>
    <s v="Yes"/>
    <s v="No"/>
    <s v="No"/>
    <s v="Yes"/>
    <s v="Yes"/>
  </r>
  <r>
    <x v="4"/>
    <s v="P-110"/>
    <x v="1"/>
    <x v="3"/>
    <n v="5"/>
    <n v="388500"/>
    <x v="1"/>
    <s v="Yes"/>
    <x v="0"/>
    <x v="0"/>
    <s v="Yes"/>
    <s v="Yes"/>
    <s v="No"/>
    <s v="Yes"/>
    <s v="Yes"/>
    <s v="Yes"/>
    <s v="Yes"/>
    <s v="Yes"/>
  </r>
  <r>
    <x v="4"/>
    <s v="P-111"/>
    <x v="2"/>
    <x v="3"/>
    <n v="5"/>
    <n v="315000"/>
    <x v="1"/>
    <s v="Yes"/>
    <x v="1"/>
    <x v="0"/>
    <s v="Yes"/>
    <s v="Yes"/>
    <s v="No"/>
    <s v="Yes"/>
    <s v="No"/>
    <s v="Yes"/>
    <s v="Yes"/>
    <s v="Yes"/>
  </r>
  <r>
    <x v="4"/>
    <s v="P-112"/>
    <x v="2"/>
    <x v="3"/>
    <n v="4"/>
    <n v="350000"/>
    <x v="1"/>
    <s v="Yes"/>
    <x v="1"/>
    <x v="0"/>
    <s v="Yes"/>
    <s v="Yes"/>
    <s v="No"/>
    <s v="Yes"/>
    <s v="No"/>
    <s v="Yes"/>
    <s v="Yes"/>
    <s v="Yes"/>
  </r>
  <r>
    <x v="4"/>
    <s v="P-113"/>
    <x v="2"/>
    <x v="4"/>
    <n v="5"/>
    <n v="646550"/>
    <x v="1"/>
    <s v="Yes"/>
    <x v="1"/>
    <x v="1"/>
    <s v="Yes"/>
    <s v="Yes"/>
    <s v="No"/>
    <s v="Yes"/>
    <s v="No"/>
    <s v="No"/>
    <s v="Yes"/>
    <s v="Yes"/>
  </r>
  <r>
    <x v="4"/>
    <s v="P-114"/>
    <x v="2"/>
    <x v="3"/>
    <n v="4"/>
    <n v="421000"/>
    <x v="1"/>
    <s v="Yes"/>
    <x v="1"/>
    <x v="1"/>
    <s v="Yes"/>
    <s v="Yes"/>
    <s v="No"/>
    <s v="Yes"/>
    <s v="No"/>
    <s v="No"/>
    <s v="Yes"/>
    <s v="Yes"/>
  </r>
  <r>
    <x v="4"/>
    <s v="P-115"/>
    <x v="2"/>
    <x v="4"/>
    <n v="5"/>
    <n v="500000"/>
    <x v="1"/>
    <s v="Yes"/>
    <x v="1"/>
    <x v="1"/>
    <s v="Yes"/>
    <s v="Yes"/>
    <s v="No"/>
    <s v="Yes"/>
    <s v="No"/>
    <s v="No"/>
    <s v="Yes"/>
    <s v="Yes"/>
  </r>
  <r>
    <x v="4"/>
    <s v="P-116"/>
    <x v="1"/>
    <x v="4"/>
    <n v="6"/>
    <n v="570000"/>
    <x v="1"/>
    <s v="Yes"/>
    <x v="0"/>
    <x v="0"/>
    <s v="Yes"/>
    <s v="Yes"/>
    <s v="No"/>
    <s v="Yes"/>
    <s v="Yes"/>
    <s v="Yes"/>
    <s v="Yes"/>
    <s v="Yes"/>
  </r>
  <r>
    <x v="4"/>
    <s v="P-117"/>
    <x v="0"/>
    <x v="1"/>
    <n v="1"/>
    <n v="90000"/>
    <x v="0"/>
    <s v="Yes"/>
    <x v="0"/>
    <x v="1"/>
    <s v="Yes"/>
    <s v="Yes"/>
    <s v="Yes"/>
    <s v="Yes"/>
    <s v="Yes"/>
    <s v="No"/>
    <s v="Yes"/>
    <s v="Yes"/>
  </r>
  <r>
    <x v="4"/>
    <s v="P-118"/>
    <x v="2"/>
    <x v="4"/>
    <n v="5"/>
    <n v="520000"/>
    <x v="1"/>
    <s v="Yes"/>
    <x v="1"/>
    <x v="1"/>
    <s v="Yes"/>
    <s v="Yes"/>
    <s v="No"/>
    <s v="Yes"/>
    <s v="No"/>
    <s v="No"/>
    <s v="Yes"/>
    <s v="Yes"/>
  </r>
  <r>
    <x v="4"/>
    <s v="P-119"/>
    <x v="2"/>
    <x v="4"/>
    <n v="6"/>
    <n v="580000"/>
    <x v="1"/>
    <s v="Yes"/>
    <x v="1"/>
    <x v="1"/>
    <s v="Yes"/>
    <s v="Yes"/>
    <s v="No"/>
    <s v="Yes"/>
    <s v="No"/>
    <s v="No"/>
    <s v="Yes"/>
    <s v="Yes"/>
  </r>
  <r>
    <x v="4"/>
    <s v="P-120"/>
    <x v="1"/>
    <x v="2"/>
    <n v="3"/>
    <n v="270000"/>
    <x v="1"/>
    <s v="Yes"/>
    <x v="1"/>
    <x v="1"/>
    <s v="Yes"/>
    <s v="Yes"/>
    <s v="No"/>
    <s v="Yes"/>
    <s v="No"/>
    <s v="No"/>
    <s v="Yes"/>
    <s v="Yes"/>
  </r>
  <r>
    <x v="4"/>
    <s v="P-121"/>
    <x v="2"/>
    <x v="3"/>
    <n v="4"/>
    <n v="450000"/>
    <x v="1"/>
    <s v="Yes"/>
    <x v="1"/>
    <x v="1"/>
    <s v="Yes"/>
    <s v="Yes"/>
    <s v="No"/>
    <s v="Yes"/>
    <s v="No"/>
    <s v="No"/>
    <s v="Yes"/>
    <s v="Yes"/>
  </r>
  <r>
    <x v="5"/>
    <s v="P-122"/>
    <x v="0"/>
    <x v="2"/>
    <n v="3"/>
    <n v="220000"/>
    <x v="1"/>
    <s v="Yes"/>
    <x v="0"/>
    <x v="0"/>
    <s v="Yes"/>
    <s v="Yes"/>
    <s v="No"/>
    <s v="Yes"/>
    <s v="Yes"/>
    <s v="Yes"/>
    <s v="Yes"/>
    <s v="Yes"/>
  </r>
  <r>
    <x v="5"/>
    <s v="P-123"/>
    <x v="0"/>
    <x v="2"/>
    <n v="4"/>
    <n v="220000"/>
    <x v="1"/>
    <s v="Yes"/>
    <x v="0"/>
    <x v="0"/>
    <s v="Yes"/>
    <s v="Yes"/>
    <s v="No"/>
    <s v="Yes"/>
    <s v="Yes"/>
    <s v="Yes"/>
    <s v="Yes"/>
    <s v="Yes"/>
  </r>
  <r>
    <x v="5"/>
    <s v="P-124"/>
    <x v="0"/>
    <x v="2"/>
    <n v="4"/>
    <n v="320000"/>
    <x v="1"/>
    <s v="Yes"/>
    <x v="0"/>
    <x v="0"/>
    <s v="Yes"/>
    <s v="Yes"/>
    <s v="No"/>
    <s v="Yes"/>
    <s v="Yes"/>
    <s v="Yes"/>
    <s v="Yes"/>
    <s v="Yes"/>
  </r>
  <r>
    <x v="5"/>
    <s v="P-125"/>
    <x v="0"/>
    <x v="2"/>
    <n v="4"/>
    <n v="320000"/>
    <x v="0"/>
    <s v="Yes"/>
    <x v="0"/>
    <x v="0"/>
    <s v="Yes"/>
    <s v="Yes"/>
    <s v="Yes"/>
    <s v="Yes"/>
    <s v="Yes"/>
    <s v="Yes"/>
    <s v="Yes"/>
    <s v="Yes"/>
  </r>
  <r>
    <x v="5"/>
    <s v="P-126"/>
    <x v="0"/>
    <x v="0"/>
    <n v="2"/>
    <n v="80000"/>
    <x v="1"/>
    <s v="Yes"/>
    <x v="0"/>
    <x v="1"/>
    <s v="Yes"/>
    <s v="Yes"/>
    <s v="No"/>
    <s v="Yes"/>
    <s v="Yes"/>
    <s v="No"/>
    <s v="Yes"/>
    <s v="Yes"/>
  </r>
  <r>
    <x v="5"/>
    <s v="P-127"/>
    <x v="0"/>
    <x v="0"/>
    <n v="2"/>
    <n v="80000"/>
    <x v="1"/>
    <s v="Yes"/>
    <x v="0"/>
    <x v="1"/>
    <s v="Yes"/>
    <s v="Yes"/>
    <s v="No"/>
    <s v="Yes"/>
    <s v="Yes"/>
    <s v="No"/>
    <s v="Yes"/>
    <s v="Yes"/>
  </r>
  <r>
    <x v="5"/>
    <s v="P-128"/>
    <x v="0"/>
    <x v="4"/>
    <n v="6"/>
    <n v="135000"/>
    <x v="1"/>
    <s v="Yes"/>
    <x v="0"/>
    <x v="0"/>
    <s v="Yes"/>
    <s v="Yes"/>
    <s v="No"/>
    <s v="Yes"/>
    <s v="Yes"/>
    <s v="Yes"/>
    <s v="Yes"/>
    <s v="Yes"/>
  </r>
  <r>
    <x v="5"/>
    <s v="P-129"/>
    <x v="0"/>
    <x v="4"/>
    <n v="4"/>
    <n v="135000"/>
    <x v="1"/>
    <s v="Yes"/>
    <x v="0"/>
    <x v="0"/>
    <s v="Yes"/>
    <s v="Yes"/>
    <s v="No"/>
    <s v="Yes"/>
    <s v="Yes"/>
    <s v="Yes"/>
    <s v="Yes"/>
    <s v="Yes"/>
  </r>
  <r>
    <x v="5"/>
    <s v="P-130"/>
    <x v="0"/>
    <x v="2"/>
    <n v="3"/>
    <n v="250000"/>
    <x v="1"/>
    <s v="Yes"/>
    <x v="0"/>
    <x v="1"/>
    <s v="Yes"/>
    <s v="Yes"/>
    <s v="No"/>
    <s v="Yes"/>
    <s v="Yes"/>
    <s v="No"/>
    <s v="Yes"/>
    <s v="Yes"/>
  </r>
  <r>
    <x v="5"/>
    <s v="P-131"/>
    <x v="0"/>
    <x v="4"/>
    <n v="5"/>
    <n v="175000"/>
    <x v="1"/>
    <s v="Yes"/>
    <x v="0"/>
    <x v="1"/>
    <s v="Yes"/>
    <s v="Yes"/>
    <s v="No"/>
    <s v="Yes"/>
    <s v="Yes"/>
    <s v="No"/>
    <s v="Yes"/>
    <s v="Yes"/>
  </r>
  <r>
    <x v="5"/>
    <s v="P-132"/>
    <x v="0"/>
    <x v="2"/>
    <n v="3"/>
    <n v="120000"/>
    <x v="1"/>
    <s v="Yes"/>
    <x v="1"/>
    <x v="1"/>
    <s v="Yes"/>
    <s v="Yes"/>
    <s v="No"/>
    <s v="Yes"/>
    <s v="No"/>
    <s v="No"/>
    <s v="Yes"/>
    <s v="Yes"/>
  </r>
  <r>
    <x v="5"/>
    <s v="P-133"/>
    <x v="0"/>
    <x v="2"/>
    <n v="3"/>
    <n v="280000"/>
    <x v="1"/>
    <s v="Yes"/>
    <x v="0"/>
    <x v="0"/>
    <s v="Yes"/>
    <s v="Yes"/>
    <s v="No"/>
    <s v="Yes"/>
    <s v="Yes"/>
    <s v="Yes"/>
    <s v="Yes"/>
    <s v="Yes"/>
  </r>
  <r>
    <x v="5"/>
    <s v="P-134"/>
    <x v="0"/>
    <x v="3"/>
    <n v="3"/>
    <n v="100000"/>
    <x v="1"/>
    <s v="Yes"/>
    <x v="1"/>
    <x v="1"/>
    <s v="Yes"/>
    <s v="Yes"/>
    <s v="No"/>
    <s v="Yes"/>
    <s v="No"/>
    <s v="No"/>
    <s v="Yes"/>
    <s v="Yes"/>
  </r>
  <r>
    <x v="5"/>
    <s v="P-135"/>
    <x v="0"/>
    <x v="3"/>
    <n v="4"/>
    <n v="380000"/>
    <x v="1"/>
    <s v="Yes"/>
    <x v="0"/>
    <x v="0"/>
    <s v="Yes"/>
    <s v="Yes"/>
    <s v="No"/>
    <s v="Yes"/>
    <s v="Yes"/>
    <s v="Yes"/>
    <s v="Yes"/>
    <s v="Yes"/>
  </r>
  <r>
    <x v="5"/>
    <s v="P-136"/>
    <x v="0"/>
    <x v="2"/>
    <n v="3"/>
    <n v="290000"/>
    <x v="1"/>
    <s v="Yes"/>
    <x v="0"/>
    <x v="0"/>
    <s v="Yes"/>
    <s v="Yes"/>
    <s v="No"/>
    <s v="Yes"/>
    <s v="Yes"/>
    <s v="Yes"/>
    <s v="Yes"/>
    <s v="Yes"/>
  </r>
  <r>
    <x v="5"/>
    <s v="P-137"/>
    <x v="0"/>
    <x v="0"/>
    <n v="2"/>
    <n v="150000"/>
    <x v="0"/>
    <s v="Yes"/>
    <x v="0"/>
    <x v="0"/>
    <s v="Yes"/>
    <s v="Yes"/>
    <s v="Yes"/>
    <s v="Yes"/>
    <s v="Yes"/>
    <s v="Yes"/>
    <s v="Yes"/>
    <s v="Yes"/>
  </r>
  <r>
    <x v="5"/>
    <s v="P-138"/>
    <x v="0"/>
    <x v="3"/>
    <n v="4"/>
    <n v="280000"/>
    <x v="0"/>
    <s v="Yes"/>
    <x v="1"/>
    <x v="0"/>
    <s v="Yes"/>
    <s v="Yes"/>
    <s v="Yes"/>
    <s v="Yes"/>
    <s v="No"/>
    <s v="Yes"/>
    <s v="Yes"/>
    <s v="Yes"/>
  </r>
  <r>
    <x v="5"/>
    <s v="P-139"/>
    <x v="0"/>
    <x v="3"/>
    <n v="4"/>
    <n v="160000"/>
    <x v="1"/>
    <s v="Yes"/>
    <x v="1"/>
    <x v="0"/>
    <s v="Yes"/>
    <s v="Yes"/>
    <s v="No"/>
    <s v="Yes"/>
    <s v="No"/>
    <s v="Yes"/>
    <s v="Yes"/>
    <s v="Yes"/>
  </r>
  <r>
    <x v="6"/>
    <s v="P-140"/>
    <x v="0"/>
    <x v="0"/>
    <n v="2"/>
    <n v="220000"/>
    <x v="0"/>
    <s v="Yes"/>
    <x v="0"/>
    <x v="0"/>
    <s v="Yes"/>
    <s v="Yes"/>
    <s v="Yes"/>
    <s v="Yes"/>
    <s v="Yes"/>
    <s v="Yes"/>
    <s v="Yes"/>
    <s v="Yes"/>
  </r>
  <r>
    <x v="6"/>
    <s v="P-141"/>
    <x v="1"/>
    <x v="3"/>
    <n v="3"/>
    <n v="190000"/>
    <x v="1"/>
    <s v="Yes"/>
    <x v="1"/>
    <x v="1"/>
    <s v="Yes"/>
    <s v="Yes"/>
    <s v="No"/>
    <s v="Yes"/>
    <s v="No"/>
    <s v="No"/>
    <s v="Yes"/>
    <s v="Yes"/>
  </r>
  <r>
    <x v="6"/>
    <s v="P-142"/>
    <x v="0"/>
    <x v="2"/>
    <n v="4"/>
    <n v="130000"/>
    <x v="1"/>
    <s v="Yes"/>
    <x v="0"/>
    <x v="0"/>
    <s v="Yes"/>
    <s v="Yes"/>
    <s v="No"/>
    <s v="Yes"/>
    <s v="Yes"/>
    <s v="Yes"/>
    <s v="Yes"/>
    <s v="Yes"/>
  </r>
  <r>
    <x v="6"/>
    <s v="P-143"/>
    <x v="3"/>
    <x v="1"/>
    <n v="1"/>
    <n v="65000"/>
    <x v="0"/>
    <s v="Yes"/>
    <x v="0"/>
    <x v="1"/>
    <s v="Yes"/>
    <s v="Yes"/>
    <s v="Yes"/>
    <s v="Yes"/>
    <s v="Yes"/>
    <s v="No"/>
    <s v="Yes"/>
    <s v="Yes"/>
  </r>
  <r>
    <x v="6"/>
    <s v="P-144"/>
    <x v="0"/>
    <x v="3"/>
    <n v="5"/>
    <n v="170000"/>
    <x v="1"/>
    <s v="Yes"/>
    <x v="0"/>
    <x v="0"/>
    <s v="Yes"/>
    <s v="Yes"/>
    <s v="No"/>
    <s v="Yes"/>
    <s v="Yes"/>
    <s v="Yes"/>
    <s v="Yes"/>
    <s v="Yes"/>
  </r>
  <r>
    <x v="6"/>
    <s v="P-145"/>
    <x v="3"/>
    <x v="6"/>
    <n v="1"/>
    <n v="65000"/>
    <x v="0"/>
    <s v="Yes"/>
    <x v="0"/>
    <x v="1"/>
    <s v="Yes"/>
    <s v="Yes"/>
    <s v="Yes"/>
    <s v="Yes"/>
    <s v="Yes"/>
    <s v="No"/>
    <s v="Yes"/>
    <s v="Yes"/>
  </r>
  <r>
    <x v="6"/>
    <s v="P-146"/>
    <x v="0"/>
    <x v="0"/>
    <n v="2"/>
    <n v="100000"/>
    <x v="1"/>
    <s v="Yes"/>
    <x v="0"/>
    <x v="0"/>
    <s v="Yes"/>
    <s v="Yes"/>
    <s v="No"/>
    <s v="Yes"/>
    <s v="Yes"/>
    <s v="Yes"/>
    <s v="Yes"/>
    <s v="Yes"/>
  </r>
  <r>
    <x v="6"/>
    <s v="P-147"/>
    <x v="0"/>
    <x v="2"/>
    <n v="5"/>
    <n v="160000"/>
    <x v="1"/>
    <s v="Yes"/>
    <x v="0"/>
    <x v="0"/>
    <s v="Yes"/>
    <s v="Yes"/>
    <s v="No"/>
    <s v="Yes"/>
    <s v="Yes"/>
    <s v="Yes"/>
    <s v="Yes"/>
    <s v="Yes"/>
  </r>
  <r>
    <x v="6"/>
    <s v="P-148"/>
    <x v="0"/>
    <x v="3"/>
    <n v="5"/>
    <n v="520000"/>
    <x v="0"/>
    <s v="Yes"/>
    <x v="0"/>
    <x v="0"/>
    <s v="Yes"/>
    <s v="Yes"/>
    <s v="Yes"/>
    <s v="Yes"/>
    <s v="Yes"/>
    <s v="Yes"/>
    <s v="Yes"/>
    <s v="Yes"/>
  </r>
  <r>
    <x v="6"/>
    <s v="P-149"/>
    <x v="0"/>
    <x v="2"/>
    <n v="3"/>
    <n v="316000"/>
    <x v="0"/>
    <s v="Yes"/>
    <x v="0"/>
    <x v="0"/>
    <s v="Yes"/>
    <s v="Yes"/>
    <s v="Yes"/>
    <s v="Yes"/>
    <s v="Yes"/>
    <s v="Yes"/>
    <s v="Yes"/>
    <s v="Yes"/>
  </r>
  <r>
    <x v="6"/>
    <s v="P-150"/>
    <x v="0"/>
    <x v="2"/>
    <n v="2"/>
    <n v="100000"/>
    <x v="1"/>
    <s v="Yes"/>
    <x v="1"/>
    <x v="1"/>
    <s v="Yes"/>
    <s v="Yes"/>
    <s v="No"/>
    <s v="Yes"/>
    <s v="No"/>
    <s v="No"/>
    <s v="Yes"/>
    <s v="Yes"/>
  </r>
  <r>
    <x v="6"/>
    <s v="P-151"/>
    <x v="3"/>
    <x v="6"/>
    <n v="1"/>
    <n v="85000"/>
    <x v="0"/>
    <s v="Yes"/>
    <x v="0"/>
    <x v="1"/>
    <s v="Yes"/>
    <s v="Yes"/>
    <s v="Yes"/>
    <s v="Yes"/>
    <s v="Yes"/>
    <s v="No"/>
    <s v="Yes"/>
    <s v="Yes"/>
  </r>
  <r>
    <x v="6"/>
    <s v="P-152"/>
    <x v="0"/>
    <x v="2"/>
    <n v="4"/>
    <n v="130000"/>
    <x v="1"/>
    <s v="Yes"/>
    <x v="0"/>
    <x v="0"/>
    <s v="Yes"/>
    <s v="Yes"/>
    <s v="No"/>
    <s v="Yes"/>
    <s v="Yes"/>
    <s v="Yes"/>
    <s v="Yes"/>
    <s v="Yes"/>
  </r>
  <r>
    <x v="6"/>
    <s v="P-153"/>
    <x v="1"/>
    <x v="4"/>
    <n v="6"/>
    <n v="380000"/>
    <x v="1"/>
    <s v="Yes"/>
    <x v="0"/>
    <x v="0"/>
    <s v="Yes"/>
    <s v="Yes"/>
    <s v="No"/>
    <s v="Yes"/>
    <s v="Yes"/>
    <s v="Yes"/>
    <s v="Yes"/>
    <s v="Yes"/>
  </r>
  <r>
    <x v="6"/>
    <s v="P-154"/>
    <x v="0"/>
    <x v="0"/>
    <n v="2"/>
    <n v="150000"/>
    <x v="1"/>
    <s v="Yes"/>
    <x v="0"/>
    <x v="0"/>
    <s v="Yes"/>
    <s v="Yes"/>
    <s v="No"/>
    <s v="Yes"/>
    <s v="Yes"/>
    <s v="Yes"/>
    <s v="Yes"/>
    <s v="Yes"/>
  </r>
  <r>
    <x v="6"/>
    <s v="P-155"/>
    <x v="0"/>
    <x v="2"/>
    <n v="3"/>
    <n v="165000"/>
    <x v="1"/>
    <s v="Yes"/>
    <x v="0"/>
    <x v="0"/>
    <s v="Yes"/>
    <s v="Yes"/>
    <s v="No"/>
    <s v="Yes"/>
    <s v="Yes"/>
    <s v="Yes"/>
    <s v="Yes"/>
    <s v="Yes"/>
  </r>
  <r>
    <x v="6"/>
    <s v="P-156"/>
    <x v="0"/>
    <x v="0"/>
    <n v="2"/>
    <n v="100000"/>
    <x v="1"/>
    <s v="Yes"/>
    <x v="0"/>
    <x v="0"/>
    <s v="Yes"/>
    <s v="Yes"/>
    <s v="No"/>
    <s v="Yes"/>
    <s v="Yes"/>
    <s v="Yes"/>
    <s v="Yes"/>
    <s v="Yes"/>
  </r>
  <r>
    <x v="6"/>
    <s v="P-157"/>
    <x v="1"/>
    <x v="2"/>
    <n v="3"/>
    <n v="250000"/>
    <x v="1"/>
    <s v="Yes"/>
    <x v="0"/>
    <x v="0"/>
    <s v="Yes"/>
    <s v="Yes"/>
    <s v="No"/>
    <s v="Yes"/>
    <s v="Yes"/>
    <s v="Yes"/>
    <s v="Yes"/>
    <s v="Yes"/>
  </r>
  <r>
    <x v="6"/>
    <s v="P-158"/>
    <x v="1"/>
    <x v="3"/>
    <n v="5"/>
    <n v="120000"/>
    <x v="1"/>
    <s v="Yes"/>
    <x v="1"/>
    <x v="1"/>
    <s v="Yes"/>
    <s v="Yes"/>
    <s v="No"/>
    <s v="Yes"/>
    <s v="No"/>
    <s v="No"/>
    <s v="Yes"/>
    <s v="Yes"/>
  </r>
  <r>
    <x v="6"/>
    <s v="P-159"/>
    <x v="0"/>
    <x v="0"/>
    <n v="2"/>
    <n v="100000"/>
    <x v="1"/>
    <s v="Yes"/>
    <x v="0"/>
    <x v="0"/>
    <s v="Yes"/>
    <s v="Yes"/>
    <s v="No"/>
    <s v="Yes"/>
    <s v="Yes"/>
    <s v="Yes"/>
    <s v="Yes"/>
    <s v="Yes"/>
  </r>
  <r>
    <x v="6"/>
    <s v="P-160"/>
    <x v="3"/>
    <x v="6"/>
    <n v="1"/>
    <n v="100000"/>
    <x v="0"/>
    <s v="Yes"/>
    <x v="0"/>
    <x v="0"/>
    <s v="Yes"/>
    <s v="Yes"/>
    <s v="Yes"/>
    <s v="Yes"/>
    <s v="Yes"/>
    <s v="Yes"/>
    <s v="Yes"/>
    <s v="Yes"/>
  </r>
  <r>
    <x v="7"/>
    <s v="P-161"/>
    <x v="0"/>
    <x v="5"/>
    <n v="7"/>
    <n v="210000"/>
    <x v="1"/>
    <s v="Yes"/>
    <x v="1"/>
    <x v="0"/>
    <s v="Yes"/>
    <s v="Yes"/>
    <s v="No"/>
    <s v="Yes"/>
    <s v="No"/>
    <s v="Yes"/>
    <s v="Yes"/>
    <s v="Yes"/>
  </r>
  <r>
    <x v="7"/>
    <s v="P-162"/>
    <x v="0"/>
    <x v="2"/>
    <n v="2"/>
    <n v="90000"/>
    <x v="1"/>
    <s v="Yes"/>
    <x v="1"/>
    <x v="1"/>
    <s v="Yes"/>
    <s v="Yes"/>
    <s v="No"/>
    <s v="Yes"/>
    <s v="No"/>
    <s v="No"/>
    <s v="Yes"/>
    <s v="Yes"/>
  </r>
  <r>
    <x v="7"/>
    <s v="P-163"/>
    <x v="0"/>
    <x v="1"/>
    <n v="1"/>
    <n v="140000"/>
    <x v="0"/>
    <s v="Yes"/>
    <x v="0"/>
    <x v="0"/>
    <s v="Yes"/>
    <s v="Yes"/>
    <s v="Yes"/>
    <s v="Yes"/>
    <s v="Yes"/>
    <s v="Yes"/>
    <s v="Yes"/>
    <s v="Yes"/>
  </r>
  <r>
    <x v="7"/>
    <s v="P-164"/>
    <x v="3"/>
    <x v="6"/>
    <n v="1"/>
    <n v="70000"/>
    <x v="1"/>
    <s v="Yes"/>
    <x v="1"/>
    <x v="0"/>
    <s v="Yes"/>
    <s v="Yes"/>
    <s v="No"/>
    <s v="Yes"/>
    <s v="No"/>
    <s v="Yes"/>
    <s v="Yes"/>
    <s v="Yes"/>
  </r>
  <r>
    <x v="7"/>
    <s v="P-165"/>
    <x v="0"/>
    <x v="0"/>
    <n v="2"/>
    <n v="140000"/>
    <x v="1"/>
    <s v="Yes"/>
    <x v="1"/>
    <x v="0"/>
    <s v="Yes"/>
    <s v="Yes"/>
    <s v="No"/>
    <s v="Yes"/>
    <s v="No"/>
    <s v="Yes"/>
    <s v="Yes"/>
    <s v="Yes"/>
  </r>
  <r>
    <x v="7"/>
    <s v="P-166"/>
    <x v="0"/>
    <x v="0"/>
    <n v="2"/>
    <n v="168000"/>
    <x v="0"/>
    <s v="Yes"/>
    <x v="0"/>
    <x v="0"/>
    <s v="Yes"/>
    <s v="Yes"/>
    <s v="Yes"/>
    <s v="Yes"/>
    <s v="Yes"/>
    <s v="Yes"/>
    <s v="Yes"/>
    <s v="Yes"/>
  </r>
  <r>
    <x v="7"/>
    <s v="P-167"/>
    <x v="0"/>
    <x v="2"/>
    <n v="4"/>
    <n v="90000"/>
    <x v="1"/>
    <s v="Yes"/>
    <x v="1"/>
    <x v="0"/>
    <s v="Yes"/>
    <s v="Yes"/>
    <s v="No"/>
    <s v="Yes"/>
    <s v="No"/>
    <s v="Yes"/>
    <s v="Yes"/>
    <s v="Yes"/>
  </r>
  <r>
    <x v="7"/>
    <s v="P-168"/>
    <x v="0"/>
    <x v="2"/>
    <n v="1"/>
    <n v="70000"/>
    <x v="1"/>
    <s v="Yes"/>
    <x v="1"/>
    <x v="1"/>
    <s v="Yes"/>
    <s v="Yes"/>
    <s v="No"/>
    <s v="Yes"/>
    <s v="No"/>
    <s v="No"/>
    <s v="Yes"/>
    <s v="Yes"/>
  </r>
  <r>
    <x v="7"/>
    <s v="P-169"/>
    <x v="0"/>
    <x v="2"/>
    <n v="2"/>
    <n v="250000"/>
    <x v="0"/>
    <s v="Yes"/>
    <x v="0"/>
    <x v="0"/>
    <s v="Yes"/>
    <s v="Yes"/>
    <s v="Yes"/>
    <s v="Yes"/>
    <s v="Yes"/>
    <s v="Yes"/>
    <s v="Yes"/>
    <s v="Yes"/>
  </r>
  <r>
    <x v="7"/>
    <s v="P-170"/>
    <x v="0"/>
    <x v="1"/>
    <n v="1"/>
    <n v="100000"/>
    <x v="0"/>
    <s v="Yes"/>
    <x v="0"/>
    <x v="0"/>
    <s v="Yes"/>
    <s v="Yes"/>
    <s v="Yes"/>
    <s v="Yes"/>
    <s v="Yes"/>
    <s v="Yes"/>
    <s v="Yes"/>
    <s v="Yes"/>
  </r>
  <r>
    <x v="7"/>
    <s v="P-171"/>
    <x v="0"/>
    <x v="0"/>
    <n v="2"/>
    <n v="100000"/>
    <x v="0"/>
    <s v="Yes"/>
    <x v="0"/>
    <x v="0"/>
    <s v="Yes"/>
    <s v="Yes"/>
    <s v="Yes"/>
    <s v="Yes"/>
    <s v="Yes"/>
    <s v="Yes"/>
    <s v="Yes"/>
    <s v="Yes"/>
  </r>
  <r>
    <x v="7"/>
    <s v="P-172"/>
    <x v="0"/>
    <x v="2"/>
    <n v="3"/>
    <n v="140000"/>
    <x v="1"/>
    <s v="Yes"/>
    <x v="0"/>
    <x v="0"/>
    <s v="Yes"/>
    <s v="Yes"/>
    <s v="No"/>
    <s v="Yes"/>
    <s v="Yes"/>
    <s v="Yes"/>
    <s v="Yes"/>
    <s v="Yes"/>
  </r>
  <r>
    <x v="7"/>
    <s v="P-173"/>
    <x v="0"/>
    <x v="3"/>
    <n v="4"/>
    <n v="160000"/>
    <x v="0"/>
    <s v="Yes"/>
    <x v="0"/>
    <x v="0"/>
    <s v="Yes"/>
    <s v="Yes"/>
    <s v="Yes"/>
    <s v="Yes"/>
    <s v="Yes"/>
    <s v="Yes"/>
    <s v="Yes"/>
    <s v="Yes"/>
  </r>
  <r>
    <x v="7"/>
    <s v="P-174"/>
    <x v="0"/>
    <x v="0"/>
    <n v="2"/>
    <n v="140000"/>
    <x v="1"/>
    <s v="Yes"/>
    <x v="0"/>
    <x v="0"/>
    <s v="Yes"/>
    <s v="Yes"/>
    <s v="No"/>
    <s v="Yes"/>
    <s v="Yes"/>
    <s v="Yes"/>
    <s v="Yes"/>
    <s v="Yes"/>
  </r>
  <r>
    <x v="7"/>
    <s v="P-175"/>
    <x v="0"/>
    <x v="2"/>
    <n v="4"/>
    <n v="90000"/>
    <x v="1"/>
    <s v="Yes"/>
    <x v="1"/>
    <x v="0"/>
    <s v="Yes"/>
    <s v="Yes"/>
    <s v="No"/>
    <s v="Yes"/>
    <s v="No"/>
    <s v="Yes"/>
    <s v="Yes"/>
    <s v="Yes"/>
  </r>
  <r>
    <x v="7"/>
    <s v="P-176"/>
    <x v="0"/>
    <x v="0"/>
    <n v="2"/>
    <n v="180000"/>
    <x v="0"/>
    <s v="Yes"/>
    <x v="0"/>
    <x v="0"/>
    <s v="Yes"/>
    <s v="Yes"/>
    <s v="Yes"/>
    <s v="Yes"/>
    <s v="Yes"/>
    <s v="Yes"/>
    <s v="Yes"/>
    <s v="Yes"/>
  </r>
  <r>
    <x v="7"/>
    <s v="P-177"/>
    <x v="0"/>
    <x v="2"/>
    <n v="4"/>
    <n v="130000"/>
    <x v="1"/>
    <s v="Yes"/>
    <x v="0"/>
    <x v="0"/>
    <s v="Yes"/>
    <s v="Yes"/>
    <s v="No"/>
    <s v="Yes"/>
    <s v="Yes"/>
    <s v="Yes"/>
    <s v="Yes"/>
    <s v="Yes"/>
  </r>
  <r>
    <x v="8"/>
    <s v="P-178"/>
    <x v="0"/>
    <x v="2"/>
    <n v="2"/>
    <n v="105000"/>
    <x v="1"/>
    <s v="Yes"/>
    <x v="0"/>
    <x v="0"/>
    <s v="Yes"/>
    <s v="Yes"/>
    <s v="No"/>
    <s v="Yes"/>
    <s v="Yes"/>
    <s v="Yes"/>
    <s v="Yes"/>
    <s v="Yes"/>
  </r>
  <r>
    <x v="8"/>
    <s v="P-179"/>
    <x v="0"/>
    <x v="2"/>
    <n v="2"/>
    <n v="85000"/>
    <x v="1"/>
    <s v="Yes"/>
    <x v="0"/>
    <x v="0"/>
    <s v="Yes"/>
    <s v="Yes"/>
    <s v="No"/>
    <s v="Yes"/>
    <s v="Yes"/>
    <s v="Yes"/>
    <s v="Yes"/>
    <s v="Yes"/>
  </r>
  <r>
    <x v="8"/>
    <s v="P-180"/>
    <x v="0"/>
    <x v="0"/>
    <n v="2"/>
    <n v="90000"/>
    <x v="1"/>
    <s v="Yes"/>
    <x v="0"/>
    <x v="0"/>
    <s v="Yes"/>
    <s v="Yes"/>
    <s v="No"/>
    <s v="Yes"/>
    <s v="Yes"/>
    <s v="Yes"/>
    <s v="Yes"/>
    <s v="Yes"/>
  </r>
  <r>
    <x v="8"/>
    <s v="P-181"/>
    <x v="0"/>
    <x v="1"/>
    <n v="1"/>
    <n v="75000"/>
    <x v="1"/>
    <s v="Yes"/>
    <x v="0"/>
    <x v="0"/>
    <s v="Yes"/>
    <s v="Yes"/>
    <s v="No"/>
    <s v="Yes"/>
    <s v="Yes"/>
    <s v="Yes"/>
    <s v="Yes"/>
    <s v="Yes"/>
  </r>
  <r>
    <x v="8"/>
    <s v="P-182"/>
    <x v="0"/>
    <x v="0"/>
    <n v="2"/>
    <n v="90000"/>
    <x v="0"/>
    <s v="Yes"/>
    <x v="0"/>
    <x v="0"/>
    <s v="Yes"/>
    <s v="Yes"/>
    <s v="Yes"/>
    <s v="Yes"/>
    <s v="Yes"/>
    <s v="Yes"/>
    <s v="Yes"/>
    <s v="Yes"/>
  </r>
  <r>
    <x v="8"/>
    <s v="P-183"/>
    <x v="0"/>
    <x v="0"/>
    <n v="2"/>
    <n v="70000"/>
    <x v="1"/>
    <s v="Yes"/>
    <x v="1"/>
    <x v="0"/>
    <s v="Yes"/>
    <s v="Yes"/>
    <s v="No"/>
    <s v="Yes"/>
    <s v="No"/>
    <s v="Yes"/>
    <s v="Yes"/>
    <s v="Yes"/>
  </r>
  <r>
    <x v="8"/>
    <s v="P-184"/>
    <x v="0"/>
    <x v="0"/>
    <n v="2"/>
    <n v="90000"/>
    <x v="1"/>
    <s v="Yes"/>
    <x v="0"/>
    <x v="0"/>
    <s v="Yes"/>
    <s v="Yes"/>
    <s v="No"/>
    <s v="Yes"/>
    <s v="Yes"/>
    <s v="Yes"/>
    <s v="Yes"/>
    <s v="Yes"/>
  </r>
  <r>
    <x v="8"/>
    <s v="P-185"/>
    <x v="0"/>
    <x v="2"/>
    <n v="2"/>
    <n v="100000"/>
    <x v="1"/>
    <s v="Yes"/>
    <x v="1"/>
    <x v="0"/>
    <s v="Yes"/>
    <s v="Yes"/>
    <s v="No"/>
    <s v="Yes"/>
    <s v="No"/>
    <s v="Yes"/>
    <s v="Yes"/>
    <s v="Yes"/>
  </r>
  <r>
    <x v="9"/>
    <s v="P-186"/>
    <x v="0"/>
    <x v="1"/>
    <n v="1"/>
    <n v="47000"/>
    <x v="1"/>
    <s v="Yes"/>
    <x v="1"/>
    <x v="1"/>
    <s v="Yes"/>
    <s v="Yes"/>
    <s v="No"/>
    <s v="Yes"/>
    <s v="No"/>
    <s v="No"/>
    <s v="Yes"/>
    <s v="Yes"/>
  </r>
  <r>
    <x v="9"/>
    <s v="P-187"/>
    <x v="0"/>
    <x v="2"/>
    <n v="3"/>
    <n v="90000"/>
    <x v="1"/>
    <s v="Yes"/>
    <x v="1"/>
    <x v="1"/>
    <s v="Yes"/>
    <s v="Yes"/>
    <s v="No"/>
    <s v="Yes"/>
    <s v="No"/>
    <s v="No"/>
    <s v="Yes"/>
    <s v="Yes"/>
  </r>
  <r>
    <x v="9"/>
    <s v="P-188"/>
    <x v="1"/>
    <x v="3"/>
    <n v="4"/>
    <n v="60000"/>
    <x v="1"/>
    <s v="Yes"/>
    <x v="1"/>
    <x v="1"/>
    <s v="Yes"/>
    <s v="Yes"/>
    <s v="No"/>
    <s v="Yes"/>
    <s v="No"/>
    <s v="No"/>
    <s v="Yes"/>
    <s v="Yes"/>
  </r>
  <r>
    <x v="9"/>
    <s v="P-189"/>
    <x v="0"/>
    <x v="0"/>
    <n v="3"/>
    <n v="180000"/>
    <x v="0"/>
    <s v="Yes"/>
    <x v="0"/>
    <x v="0"/>
    <s v="Yes"/>
    <s v="Yes"/>
    <s v="Yes"/>
    <s v="Yes"/>
    <s v="Yes"/>
    <s v="Yes"/>
    <s v="Yes"/>
    <s v="Yes"/>
  </r>
  <r>
    <x v="9"/>
    <s v="P-190"/>
    <x v="0"/>
    <x v="0"/>
    <n v="2"/>
    <n v="66500"/>
    <x v="1"/>
    <s v="Yes"/>
    <x v="1"/>
    <x v="1"/>
    <s v="Yes"/>
    <s v="Yes"/>
    <s v="No"/>
    <s v="Yes"/>
    <s v="No"/>
    <s v="No"/>
    <s v="Yes"/>
    <s v="Yes"/>
  </r>
  <r>
    <x v="9"/>
    <s v="P-191"/>
    <x v="0"/>
    <x v="2"/>
    <n v="2"/>
    <n v="110000"/>
    <x v="0"/>
    <s v="Yes"/>
    <x v="1"/>
    <x v="1"/>
    <s v="Yes"/>
    <s v="Yes"/>
    <s v="Yes"/>
    <s v="Yes"/>
    <s v="No"/>
    <s v="No"/>
    <s v="Yes"/>
    <s v="Yes"/>
  </r>
  <r>
    <x v="9"/>
    <s v="P-192"/>
    <x v="0"/>
    <x v="0"/>
    <n v="1"/>
    <n v="48000"/>
    <x v="1"/>
    <s v="Yes"/>
    <x v="1"/>
    <x v="1"/>
    <s v="Yes"/>
    <s v="Yes"/>
    <s v="No"/>
    <s v="Yes"/>
    <s v="No"/>
    <s v="No"/>
    <s v="Yes"/>
    <s v="Yes"/>
  </r>
  <r>
    <x v="9"/>
    <s v="P-193"/>
    <x v="0"/>
    <x v="0"/>
    <n v="2"/>
    <n v="50000"/>
    <x v="1"/>
    <s v="Yes"/>
    <x v="1"/>
    <x v="1"/>
    <s v="Yes"/>
    <s v="Yes"/>
    <s v="No"/>
    <s v="Yes"/>
    <s v="No"/>
    <s v="No"/>
    <s v="Yes"/>
    <s v="Yes"/>
  </r>
  <r>
    <x v="9"/>
    <s v="P-194"/>
    <x v="2"/>
    <x v="1"/>
    <n v="2"/>
    <n v="37000"/>
    <x v="1"/>
    <s v="Yes"/>
    <x v="1"/>
    <x v="1"/>
    <s v="Yes"/>
    <s v="Yes"/>
    <s v="No"/>
    <s v="Yes"/>
    <s v="No"/>
    <s v="No"/>
    <s v="Yes"/>
    <s v="Yes"/>
  </r>
  <r>
    <x v="9"/>
    <s v="P-195"/>
    <x v="3"/>
    <x v="1"/>
    <n v="1"/>
    <n v="85000"/>
    <x v="0"/>
    <s v="Yes"/>
    <x v="1"/>
    <x v="1"/>
    <s v="Yes"/>
    <s v="Yes"/>
    <s v="Yes"/>
    <s v="Yes"/>
    <s v="No"/>
    <s v="No"/>
    <s v="Yes"/>
    <s v="Yes"/>
  </r>
  <r>
    <x v="9"/>
    <s v="P-196"/>
    <x v="0"/>
    <x v="2"/>
    <n v="3"/>
    <n v="85000"/>
    <x v="1"/>
    <s v="Yes"/>
    <x v="1"/>
    <x v="0"/>
    <s v="Yes"/>
    <s v="Yes"/>
    <s v="No"/>
    <s v="Yes"/>
    <s v="No"/>
    <s v="Yes"/>
    <s v="Yes"/>
    <s v="Yes"/>
  </r>
  <r>
    <x v="9"/>
    <s v="P-197"/>
    <x v="0"/>
    <x v="2"/>
    <n v="2"/>
    <n v="60000"/>
    <x v="1"/>
    <s v="Yes"/>
    <x v="0"/>
    <x v="1"/>
    <s v="Yes"/>
    <s v="Yes"/>
    <s v="No"/>
    <s v="Yes"/>
    <s v="Yes"/>
    <s v="No"/>
    <s v="Yes"/>
    <s v="Yes"/>
  </r>
  <r>
    <x v="9"/>
    <s v="P-198"/>
    <x v="0"/>
    <x v="1"/>
    <n v="1"/>
    <n v="50000"/>
    <x v="1"/>
    <s v="Yes"/>
    <x v="1"/>
    <x v="1"/>
    <s v="Yes"/>
    <s v="Yes"/>
    <s v="No"/>
    <s v="Yes"/>
    <s v="No"/>
    <s v="No"/>
    <s v="Yes"/>
    <s v="Yes"/>
  </r>
  <r>
    <x v="9"/>
    <s v="P-199"/>
    <x v="0"/>
    <x v="0"/>
    <n v="2"/>
    <n v="165000"/>
    <x v="0"/>
    <s v="Yes"/>
    <x v="0"/>
    <x v="0"/>
    <s v="Yes"/>
    <s v="Yes"/>
    <s v="Yes"/>
    <s v="Yes"/>
    <s v="Yes"/>
    <s v="Yes"/>
    <s v="Yes"/>
    <s v="Yes"/>
  </r>
  <r>
    <x v="9"/>
    <s v="P-200"/>
    <x v="0"/>
    <x v="1"/>
    <n v="1"/>
    <n v="45000"/>
    <x v="1"/>
    <s v="Yes"/>
    <x v="1"/>
    <x v="1"/>
    <s v="Yes"/>
    <s v="Yes"/>
    <s v="No"/>
    <s v="Yes"/>
    <s v="No"/>
    <s v="No"/>
    <s v="Yes"/>
    <s v="Yes"/>
  </r>
  <r>
    <x v="9"/>
    <s v="P-201"/>
    <x v="0"/>
    <x v="2"/>
    <n v="3"/>
    <n v="100000"/>
    <x v="0"/>
    <s v="Yes"/>
    <x v="1"/>
    <x v="1"/>
    <s v="Yes"/>
    <s v="Yes"/>
    <s v="Yes"/>
    <s v="Yes"/>
    <s v="No"/>
    <s v="No"/>
    <s v="Yes"/>
    <s v="Yes"/>
  </r>
  <r>
    <x v="9"/>
    <s v="P-202"/>
    <x v="0"/>
    <x v="2"/>
    <n v="2"/>
    <n v="60000"/>
    <x v="1"/>
    <s v="Yes"/>
    <x v="1"/>
    <x v="1"/>
    <s v="Yes"/>
    <s v="Yes"/>
    <s v="No"/>
    <s v="Yes"/>
    <s v="No"/>
    <s v="No"/>
    <s v="Yes"/>
    <s v="Yes"/>
  </r>
  <r>
    <x v="9"/>
    <s v="P-203"/>
    <x v="0"/>
    <x v="0"/>
    <n v="2"/>
    <n v="50000"/>
    <x v="1"/>
    <s v="Yes"/>
    <x v="1"/>
    <x v="1"/>
    <s v="Yes"/>
    <s v="Yes"/>
    <s v="No"/>
    <s v="Yes"/>
    <s v="No"/>
    <s v="No"/>
    <s v="Yes"/>
    <s v="Yes"/>
  </r>
  <r>
    <x v="9"/>
    <s v="P-204"/>
    <x v="0"/>
    <x v="2"/>
    <n v="2"/>
    <n v="60000"/>
    <x v="1"/>
    <s v="Yes"/>
    <x v="1"/>
    <x v="1"/>
    <s v="Yes"/>
    <s v="Yes"/>
    <s v="No"/>
    <s v="Yes"/>
    <s v="No"/>
    <s v="No"/>
    <s v="Yes"/>
    <s v="Yes"/>
  </r>
  <r>
    <x v="9"/>
    <s v="P-205"/>
    <x v="0"/>
    <x v="0"/>
    <n v="2"/>
    <n v="150000"/>
    <x v="0"/>
    <s v="Yes"/>
    <x v="0"/>
    <x v="0"/>
    <s v="Yes"/>
    <s v="Yes"/>
    <s v="Yes"/>
    <s v="Yes"/>
    <s v="Yes"/>
    <s v="Yes"/>
    <s v="Yes"/>
    <s v="Yes"/>
  </r>
  <r>
    <x v="9"/>
    <s v="P-206"/>
    <x v="2"/>
    <x v="2"/>
    <n v="2"/>
    <n v="250000"/>
    <x v="1"/>
    <s v="Yes"/>
    <x v="1"/>
    <x v="1"/>
    <s v="Yes"/>
    <s v="Yes"/>
    <s v="No"/>
    <s v="Yes"/>
    <s v="No"/>
    <s v="No"/>
    <s v="Yes"/>
    <s v="Yes"/>
  </r>
  <r>
    <x v="9"/>
    <s v="P-207"/>
    <x v="0"/>
    <x v="0"/>
    <n v="2"/>
    <n v="60000"/>
    <x v="1"/>
    <s v="Yes"/>
    <x v="1"/>
    <x v="1"/>
    <s v="Yes"/>
    <s v="Yes"/>
    <s v="No"/>
    <s v="Yes"/>
    <s v="No"/>
    <s v="No"/>
    <s v="Yes"/>
    <s v="Yes"/>
  </r>
  <r>
    <x v="9"/>
    <s v="P-208"/>
    <x v="0"/>
    <x v="0"/>
    <n v="2"/>
    <n v="50000"/>
    <x v="1"/>
    <s v="Yes"/>
    <x v="1"/>
    <x v="1"/>
    <s v="Yes"/>
    <s v="Yes"/>
    <s v="No"/>
    <s v="Yes"/>
    <s v="No"/>
    <s v="No"/>
    <s v="Yes"/>
    <s v="Yes"/>
  </r>
  <r>
    <x v="9"/>
    <s v="P-209"/>
    <x v="3"/>
    <x v="1"/>
    <n v="1"/>
    <n v="40000"/>
    <x v="1"/>
    <s v="Yes"/>
    <x v="1"/>
    <x v="1"/>
    <s v="Yes"/>
    <s v="Yes"/>
    <s v="No"/>
    <s v="Yes"/>
    <s v="No"/>
    <s v="No"/>
    <s v="Yes"/>
    <s v="Yes"/>
  </r>
  <r>
    <x v="9"/>
    <s v="P-210"/>
    <x v="0"/>
    <x v="2"/>
    <n v="2"/>
    <n v="90000"/>
    <x v="0"/>
    <s v="Yes"/>
    <x v="1"/>
    <x v="1"/>
    <s v="Yes"/>
    <s v="Yes"/>
    <s v="Yes"/>
    <s v="Yes"/>
    <s v="No"/>
    <s v="No"/>
    <s v="Yes"/>
    <s v="Yes"/>
  </r>
  <r>
    <x v="10"/>
    <s v="P-211"/>
    <x v="0"/>
    <x v="0"/>
    <n v="3"/>
    <n v="99000"/>
    <x v="1"/>
    <s v="Yes"/>
    <x v="0"/>
    <x v="0"/>
    <s v="Yes"/>
    <s v="Yes"/>
    <s v="No"/>
    <s v="Yes"/>
    <s v="Yes"/>
    <s v="Yes"/>
    <s v="Yes"/>
    <s v="Yes"/>
  </r>
  <r>
    <x v="10"/>
    <s v="P-212"/>
    <x v="0"/>
    <x v="0"/>
    <n v="2"/>
    <n v="50000"/>
    <x v="1"/>
    <s v="Yes"/>
    <x v="0"/>
    <x v="0"/>
    <s v="Yes"/>
    <s v="Yes"/>
    <s v="No"/>
    <s v="Yes"/>
    <s v="Yes"/>
    <s v="Yes"/>
    <s v="Yes"/>
    <s v="Yes"/>
  </r>
  <r>
    <x v="10"/>
    <s v="P-213"/>
    <x v="0"/>
    <x v="1"/>
    <n v="1"/>
    <n v="38000"/>
    <x v="1"/>
    <s v="Yes"/>
    <x v="0"/>
    <x v="0"/>
    <s v="Yes"/>
    <s v="Yes"/>
    <s v="No"/>
    <s v="Yes"/>
    <s v="Yes"/>
    <s v="Yes"/>
    <s v="Yes"/>
    <s v="Yes"/>
  </r>
  <r>
    <x v="10"/>
    <s v="P-214"/>
    <x v="0"/>
    <x v="0"/>
    <n v="2"/>
    <n v="50000"/>
    <x v="1"/>
    <s v="Yes"/>
    <x v="0"/>
    <x v="0"/>
    <s v="Yes"/>
    <s v="Yes"/>
    <s v="No"/>
    <s v="Yes"/>
    <s v="Yes"/>
    <s v="Yes"/>
    <s v="Yes"/>
    <s v="Yes"/>
  </r>
  <r>
    <x v="10"/>
    <s v="P-215"/>
    <x v="0"/>
    <x v="1"/>
    <n v="1"/>
    <n v="38000"/>
    <x v="1"/>
    <s v="Yes"/>
    <x v="0"/>
    <x v="0"/>
    <s v="Yes"/>
    <s v="Yes"/>
    <s v="No"/>
    <s v="Yes"/>
    <s v="Yes"/>
    <s v="Yes"/>
    <s v="Yes"/>
    <s v="Yes"/>
  </r>
  <r>
    <x v="10"/>
    <s v="P-216"/>
    <x v="0"/>
    <x v="0"/>
    <n v="2"/>
    <n v="110000"/>
    <x v="1"/>
    <s v="Yes"/>
    <x v="0"/>
    <x v="0"/>
    <s v="Yes"/>
    <s v="Yes"/>
    <s v="No"/>
    <s v="Yes"/>
    <s v="Yes"/>
    <s v="Yes"/>
    <s v="Yes"/>
    <s v="Yes"/>
  </r>
  <r>
    <x v="10"/>
    <s v="P-217"/>
    <x v="0"/>
    <x v="0"/>
    <n v="2"/>
    <n v="110000"/>
    <x v="1"/>
    <s v="Yes"/>
    <x v="0"/>
    <x v="0"/>
    <s v="Yes"/>
    <s v="Yes"/>
    <s v="No"/>
    <s v="Yes"/>
    <s v="Yes"/>
    <s v="Yes"/>
    <s v="Yes"/>
    <s v="Yes"/>
  </r>
  <r>
    <x v="10"/>
    <s v="P-218"/>
    <x v="0"/>
    <x v="0"/>
    <n v="1"/>
    <n v="94000"/>
    <x v="1"/>
    <s v="Yes"/>
    <x v="0"/>
    <x v="0"/>
    <s v="Yes"/>
    <s v="Yes"/>
    <s v="No"/>
    <s v="Yes"/>
    <s v="Yes"/>
    <s v="Yes"/>
    <s v="Yes"/>
    <s v="Yes"/>
  </r>
  <r>
    <x v="10"/>
    <s v="P-219"/>
    <x v="0"/>
    <x v="2"/>
    <n v="2"/>
    <n v="120000"/>
    <x v="1"/>
    <s v="Yes"/>
    <x v="0"/>
    <x v="0"/>
    <s v="Yes"/>
    <s v="Yes"/>
    <s v="No"/>
    <s v="Yes"/>
    <s v="Yes"/>
    <s v="Yes"/>
    <s v="Yes"/>
    <s v="Yes"/>
  </r>
  <r>
    <x v="10"/>
    <s v="P-220"/>
    <x v="0"/>
    <x v="0"/>
    <n v="2"/>
    <n v="110000"/>
    <x v="1"/>
    <s v="Yes"/>
    <x v="0"/>
    <x v="0"/>
    <s v="Yes"/>
    <s v="Yes"/>
    <s v="No"/>
    <s v="Yes"/>
    <s v="Yes"/>
    <s v="Yes"/>
    <s v="Yes"/>
    <s v="Yes"/>
  </r>
  <r>
    <x v="10"/>
    <s v="P-221"/>
    <x v="1"/>
    <x v="3"/>
    <n v="4"/>
    <n v="200000"/>
    <x v="1"/>
    <s v="Yes"/>
    <x v="0"/>
    <x v="0"/>
    <s v="Yes"/>
    <s v="Yes"/>
    <s v="No"/>
    <s v="Yes"/>
    <s v="Yes"/>
    <s v="Yes"/>
    <s v="Yes"/>
    <s v="Yes"/>
  </r>
  <r>
    <x v="10"/>
    <s v="P-222"/>
    <x v="0"/>
    <x v="0"/>
    <n v="3"/>
    <n v="110000"/>
    <x v="0"/>
    <s v="Yes"/>
    <x v="0"/>
    <x v="0"/>
    <s v="Yes"/>
    <s v="Yes"/>
    <s v="Yes"/>
    <s v="Yes"/>
    <s v="Yes"/>
    <s v="Yes"/>
    <s v="Yes"/>
    <s v="Yes"/>
  </r>
  <r>
    <x v="10"/>
    <s v="P-223"/>
    <x v="0"/>
    <x v="0"/>
    <n v="2"/>
    <n v="100000"/>
    <x v="1"/>
    <s v="Yes"/>
    <x v="0"/>
    <x v="0"/>
    <s v="Yes"/>
    <s v="Yes"/>
    <s v="No"/>
    <s v="Yes"/>
    <s v="Yes"/>
    <s v="Yes"/>
    <s v="Yes"/>
    <s v="Yes"/>
  </r>
  <r>
    <x v="10"/>
    <s v="P-224"/>
    <x v="0"/>
    <x v="0"/>
    <n v="2"/>
    <n v="110000"/>
    <x v="1"/>
    <s v="Yes"/>
    <x v="0"/>
    <x v="0"/>
    <s v="Yes"/>
    <s v="Yes"/>
    <s v="No"/>
    <s v="Yes"/>
    <s v="Yes"/>
    <s v="Yes"/>
    <s v="Yes"/>
    <s v="Yes"/>
  </r>
  <r>
    <x v="10"/>
    <s v="P-225"/>
    <x v="0"/>
    <x v="1"/>
    <n v="1"/>
    <n v="28000"/>
    <x v="1"/>
    <s v="Yes"/>
    <x v="1"/>
    <x v="1"/>
    <s v="Yes"/>
    <s v="Yes"/>
    <s v="No"/>
    <s v="Yes"/>
    <s v="No"/>
    <s v="No"/>
    <s v="Yes"/>
    <s v="Yes"/>
  </r>
  <r>
    <x v="10"/>
    <s v="P-226"/>
    <x v="0"/>
    <x v="0"/>
    <n v="2"/>
    <n v="35000"/>
    <x v="1"/>
    <s v="Yes"/>
    <x v="1"/>
    <x v="1"/>
    <s v="Yes"/>
    <s v="Yes"/>
    <s v="No"/>
    <s v="Yes"/>
    <s v="No"/>
    <s v="No"/>
    <s v="Yes"/>
    <s v="Yes"/>
  </r>
  <r>
    <x v="10"/>
    <s v="P-227"/>
    <x v="0"/>
    <x v="1"/>
    <n v="1"/>
    <n v="79000"/>
    <x v="1"/>
    <s v="Yes"/>
    <x v="0"/>
    <x v="0"/>
    <s v="Yes"/>
    <s v="Yes"/>
    <s v="No"/>
    <s v="Yes"/>
    <s v="Yes"/>
    <s v="Yes"/>
    <s v="Yes"/>
    <s v="Yes"/>
  </r>
  <r>
    <x v="10"/>
    <s v="P-228"/>
    <x v="0"/>
    <x v="0"/>
    <n v="2"/>
    <n v="99000"/>
    <x v="1"/>
    <s v="Yes"/>
    <x v="0"/>
    <x v="0"/>
    <s v="Yes"/>
    <s v="Yes"/>
    <s v="No"/>
    <s v="Yes"/>
    <s v="Yes"/>
    <s v="Yes"/>
    <s v="Yes"/>
    <s v="Yes"/>
  </r>
  <r>
    <x v="10"/>
    <s v="P-229"/>
    <x v="0"/>
    <x v="2"/>
    <n v="3"/>
    <n v="230000"/>
    <x v="0"/>
    <s v="Yes"/>
    <x v="0"/>
    <x v="0"/>
    <s v="Yes"/>
    <s v="Yes"/>
    <s v="Yes"/>
    <s v="Yes"/>
    <s v="Yes"/>
    <s v="Yes"/>
    <s v="Yes"/>
    <s v="Yes"/>
  </r>
  <r>
    <x v="10"/>
    <s v="P-230"/>
    <x v="0"/>
    <x v="2"/>
    <n v="3"/>
    <n v="160000"/>
    <x v="1"/>
    <s v="Yes"/>
    <x v="0"/>
    <x v="0"/>
    <s v="Yes"/>
    <s v="Yes"/>
    <s v="No"/>
    <s v="Yes"/>
    <s v="Yes"/>
    <s v="Yes"/>
    <s v="Yes"/>
    <s v="Yes"/>
  </r>
  <r>
    <x v="10"/>
    <s v="P-231"/>
    <x v="0"/>
    <x v="1"/>
    <n v="1"/>
    <n v="38000"/>
    <x v="1"/>
    <s v="Yes"/>
    <x v="0"/>
    <x v="0"/>
    <s v="Yes"/>
    <s v="Yes"/>
    <s v="No"/>
    <s v="Yes"/>
    <s v="Yes"/>
    <s v="Yes"/>
    <s v="Yes"/>
    <s v="Yes"/>
  </r>
  <r>
    <x v="10"/>
    <s v="P-232"/>
    <x v="0"/>
    <x v="2"/>
    <n v="4"/>
    <n v="160000"/>
    <x v="1"/>
    <s v="Yes"/>
    <x v="0"/>
    <x v="0"/>
    <s v="Yes"/>
    <s v="Yes"/>
    <s v="No"/>
    <s v="Yes"/>
    <s v="Yes"/>
    <s v="Yes"/>
    <s v="Yes"/>
    <s v="Yes"/>
  </r>
  <r>
    <x v="10"/>
    <s v="P-233"/>
    <x v="0"/>
    <x v="2"/>
    <n v="4"/>
    <n v="120000"/>
    <x v="1"/>
    <s v="Yes"/>
    <x v="0"/>
    <x v="0"/>
    <s v="Yes"/>
    <s v="Yes"/>
    <s v="No"/>
    <s v="Yes"/>
    <s v="Yes"/>
    <s v="Yes"/>
    <s v="Yes"/>
    <s v="Yes"/>
  </r>
  <r>
    <x v="10"/>
    <s v="P-234"/>
    <x v="0"/>
    <x v="2"/>
    <n v="3"/>
    <n v="60000"/>
    <x v="1"/>
    <s v="Yes"/>
    <x v="0"/>
    <x v="1"/>
    <s v="Yes"/>
    <s v="Yes"/>
    <s v="No"/>
    <s v="Yes"/>
    <s v="Yes"/>
    <s v="No"/>
    <s v="Yes"/>
    <s v="Yes"/>
  </r>
  <r>
    <x v="10"/>
    <s v="P-235"/>
    <x v="0"/>
    <x v="0"/>
    <n v="2"/>
    <n v="120000"/>
    <x v="1"/>
    <s v="Yes"/>
    <x v="0"/>
    <x v="0"/>
    <s v="Yes"/>
    <s v="Yes"/>
    <s v="No"/>
    <s v="Yes"/>
    <s v="Yes"/>
    <s v="Yes"/>
    <s v="Yes"/>
    <s v="Yes"/>
  </r>
  <r>
    <x v="11"/>
    <s v="P-236"/>
    <x v="0"/>
    <x v="1"/>
    <n v="1"/>
    <n v="19000"/>
    <x v="1"/>
    <s v="Yes"/>
    <x v="1"/>
    <x v="1"/>
    <s v="Yes"/>
    <s v="Yes"/>
    <s v="No"/>
    <s v="Yes"/>
    <s v="No"/>
    <s v="No"/>
    <s v="Yes"/>
    <s v="Yes"/>
  </r>
  <r>
    <x v="11"/>
    <s v="P-237"/>
    <x v="0"/>
    <x v="2"/>
    <n v="2"/>
    <n v="40000"/>
    <x v="1"/>
    <s v="Yes"/>
    <x v="1"/>
    <x v="1"/>
    <s v="Yes"/>
    <s v="Yes"/>
    <s v="No"/>
    <s v="Yes"/>
    <s v="No"/>
    <s v="No"/>
    <s v="Yes"/>
    <s v="Yes"/>
  </r>
  <r>
    <x v="11"/>
    <s v="P-238"/>
    <x v="0"/>
    <x v="2"/>
    <n v="2"/>
    <n v="50000"/>
    <x v="1"/>
    <s v="Yes"/>
    <x v="1"/>
    <x v="1"/>
    <s v="Yes"/>
    <s v="Yes"/>
    <s v="No"/>
    <s v="Yes"/>
    <s v="No"/>
    <s v="No"/>
    <s v="Yes"/>
    <s v="Yes"/>
  </r>
  <r>
    <x v="11"/>
    <s v="P-239"/>
    <x v="0"/>
    <x v="2"/>
    <n v="2"/>
    <n v="48000"/>
    <x v="1"/>
    <s v="Yes"/>
    <x v="1"/>
    <x v="1"/>
    <s v="Yes"/>
    <s v="Yes"/>
    <s v="No"/>
    <s v="Yes"/>
    <s v="No"/>
    <s v="No"/>
    <s v="Yes"/>
    <s v="Yes"/>
  </r>
  <r>
    <x v="11"/>
    <s v="P-240"/>
    <x v="0"/>
    <x v="3"/>
    <n v="3"/>
    <n v="200000"/>
    <x v="0"/>
    <s v="Yes"/>
    <x v="1"/>
    <x v="1"/>
    <s v="Yes"/>
    <s v="Yes"/>
    <s v="Yes"/>
    <s v="Yes"/>
    <s v="No"/>
    <s v="No"/>
    <s v="Yes"/>
    <s v="Yes"/>
  </r>
  <r>
    <x v="11"/>
    <s v="P-241"/>
    <x v="0"/>
    <x v="1"/>
    <n v="1"/>
    <n v="21000"/>
    <x v="1"/>
    <s v="Yes"/>
    <x v="1"/>
    <x v="1"/>
    <s v="Yes"/>
    <s v="Yes"/>
    <s v="No"/>
    <s v="Yes"/>
    <s v="No"/>
    <s v="No"/>
    <s v="Yes"/>
    <s v="Yes"/>
  </r>
  <r>
    <x v="11"/>
    <s v="P-242"/>
    <x v="0"/>
    <x v="0"/>
    <n v="2"/>
    <n v="30000"/>
    <x v="1"/>
    <s v="Yes"/>
    <x v="1"/>
    <x v="1"/>
    <s v="Yes"/>
    <s v="Yes"/>
    <s v="No"/>
    <s v="Yes"/>
    <s v="No"/>
    <s v="No"/>
    <s v="Yes"/>
    <s v="Yes"/>
  </r>
  <r>
    <x v="11"/>
    <s v="P-243"/>
    <x v="0"/>
    <x v="0"/>
    <n v="2"/>
    <n v="40000"/>
    <x v="1"/>
    <s v="Yes"/>
    <x v="1"/>
    <x v="1"/>
    <s v="Yes"/>
    <s v="Yes"/>
    <s v="No"/>
    <s v="Yes"/>
    <s v="No"/>
    <s v="No"/>
    <s v="Yes"/>
    <s v="Yes"/>
  </r>
  <r>
    <x v="12"/>
    <s v="P-244"/>
    <x v="0"/>
    <x v="0"/>
    <n v="2"/>
    <n v="58950"/>
    <x v="1"/>
    <s v="Yes"/>
    <x v="1"/>
    <x v="1"/>
    <s v="Yes"/>
    <s v="Yes"/>
    <s v="No"/>
    <s v="Yes"/>
    <s v="No"/>
    <s v="No"/>
    <s v="Yes"/>
    <s v="Yes"/>
  </r>
  <r>
    <x v="12"/>
    <s v="P-245"/>
    <x v="0"/>
    <x v="3"/>
    <n v="6"/>
    <n v="180000"/>
    <x v="1"/>
    <s v="Yes"/>
    <x v="1"/>
    <x v="1"/>
    <s v="Yes"/>
    <s v="Yes"/>
    <s v="No"/>
    <s v="Yes"/>
    <s v="No"/>
    <s v="No"/>
    <s v="Yes"/>
    <s v="Yes"/>
  </r>
  <r>
    <x v="12"/>
    <s v="P-246"/>
    <x v="0"/>
    <x v="1"/>
    <n v="1"/>
    <n v="38950"/>
    <x v="1"/>
    <s v="Yes"/>
    <x v="0"/>
    <x v="0"/>
    <s v="Yes"/>
    <s v="Yes"/>
    <s v="No"/>
    <s v="Yes"/>
    <s v="Yes"/>
    <s v="Yes"/>
    <s v="Yes"/>
    <s v="Yes"/>
  </r>
  <r>
    <x v="12"/>
    <s v="P-247"/>
    <x v="0"/>
    <x v="0"/>
    <n v="2"/>
    <n v="60500"/>
    <x v="1"/>
    <s v="Yes"/>
    <x v="0"/>
    <x v="0"/>
    <s v="Yes"/>
    <s v="Yes"/>
    <s v="No"/>
    <s v="Yes"/>
    <s v="Yes"/>
    <s v="Yes"/>
    <s v="Yes"/>
    <s v="Yes"/>
  </r>
  <r>
    <x v="12"/>
    <s v="P-248"/>
    <x v="0"/>
    <x v="0"/>
    <n v="2"/>
    <n v="65000"/>
    <x v="1"/>
    <s v="Yes"/>
    <x v="0"/>
    <x v="0"/>
    <s v="Yes"/>
    <s v="Yes"/>
    <s v="No"/>
    <s v="Yes"/>
    <s v="Yes"/>
    <s v="Yes"/>
    <s v="Yes"/>
    <s v="Yes"/>
  </r>
  <r>
    <x v="12"/>
    <s v="P-249"/>
    <x v="0"/>
    <x v="0"/>
    <n v="1"/>
    <n v="60000"/>
    <x v="1"/>
    <s v="Yes"/>
    <x v="1"/>
    <x v="1"/>
    <s v="Yes"/>
    <s v="Yes"/>
    <s v="No"/>
    <s v="Yes"/>
    <s v="No"/>
    <s v="No"/>
    <s v="Yes"/>
    <s v="Yes"/>
  </r>
  <r>
    <x v="12"/>
    <s v="P-250"/>
    <x v="1"/>
    <x v="4"/>
    <n v="5"/>
    <n v="470000"/>
    <x v="1"/>
    <s v="Yes"/>
    <x v="1"/>
    <x v="1"/>
    <s v="Yes"/>
    <s v="Yes"/>
    <s v="No"/>
    <s v="Yes"/>
    <s v="No"/>
    <s v="No"/>
    <s v="Yes"/>
    <s v="Yes"/>
  </r>
  <r>
    <x v="12"/>
    <s v="P-251"/>
    <x v="0"/>
    <x v="2"/>
    <n v="2"/>
    <n v="80000"/>
    <x v="1"/>
    <s v="Yes"/>
    <x v="0"/>
    <x v="1"/>
    <s v="Yes"/>
    <s v="Yes"/>
    <s v="No"/>
    <s v="Yes"/>
    <s v="Yes"/>
    <s v="No"/>
    <s v="Yes"/>
    <s v="Yes"/>
  </r>
  <r>
    <x v="13"/>
    <s v="P-252"/>
    <x v="0"/>
    <x v="0"/>
    <n v="2"/>
    <n v="15000"/>
    <x v="0"/>
    <s v="Yes"/>
    <x v="0"/>
    <x v="0"/>
    <s v="Yes"/>
    <s v="Yes"/>
    <s v="Yes"/>
    <s v="Yes"/>
    <s v="Yes"/>
    <s v="Yes"/>
    <s v="Yes"/>
    <s v="Yes"/>
  </r>
  <r>
    <x v="13"/>
    <s v="P-253"/>
    <x v="0"/>
    <x v="2"/>
    <n v="3"/>
    <n v="60000"/>
    <x v="1"/>
    <s v="Yes"/>
    <x v="0"/>
    <x v="0"/>
    <s v="Yes"/>
    <s v="Yes"/>
    <s v="No"/>
    <s v="Yes"/>
    <s v="Yes"/>
    <s v="Yes"/>
    <s v="Yes"/>
    <s v="Yes"/>
  </r>
  <r>
    <x v="13"/>
    <s v="P-254"/>
    <x v="0"/>
    <x v="0"/>
    <n v="2"/>
    <n v="50000"/>
    <x v="1"/>
    <s v="Yes"/>
    <x v="0"/>
    <x v="0"/>
    <s v="Yes"/>
    <s v="Yes"/>
    <s v="No"/>
    <s v="Yes"/>
    <s v="Yes"/>
    <s v="Yes"/>
    <s v="Yes"/>
    <s v="Yes"/>
  </r>
  <r>
    <x v="13"/>
    <s v="P-255"/>
    <x v="0"/>
    <x v="0"/>
    <n v="2"/>
    <n v="35000"/>
    <x v="1"/>
    <s v="Yes"/>
    <x v="1"/>
    <x v="1"/>
    <s v="Yes"/>
    <s v="Yes"/>
    <s v="No"/>
    <s v="Yes"/>
    <s v="No"/>
    <s v="No"/>
    <s v="Yes"/>
    <s v="Yes"/>
  </r>
  <r>
    <x v="13"/>
    <s v="P-256"/>
    <x v="2"/>
    <x v="3"/>
    <n v="4"/>
    <n v="95000"/>
    <x v="1"/>
    <s v="Yes"/>
    <x v="1"/>
    <x v="1"/>
    <s v="Yes"/>
    <s v="Yes"/>
    <s v="No"/>
    <s v="Yes"/>
    <s v="No"/>
    <s v="No"/>
    <s v="Yes"/>
    <s v="Yes"/>
  </r>
  <r>
    <x v="13"/>
    <s v="P-257"/>
    <x v="2"/>
    <x v="5"/>
    <n v="6"/>
    <n v="80000"/>
    <x v="1"/>
    <s v="Yes"/>
    <x v="1"/>
    <x v="1"/>
    <s v="Yes"/>
    <s v="Yes"/>
    <s v="No"/>
    <s v="Yes"/>
    <s v="No"/>
    <s v="No"/>
    <s v="Yes"/>
    <s v="Yes"/>
  </r>
  <r>
    <x v="13"/>
    <s v="P-258"/>
    <x v="2"/>
    <x v="4"/>
    <n v="5"/>
    <n v="75000"/>
    <x v="1"/>
    <s v="Yes"/>
    <x v="1"/>
    <x v="1"/>
    <s v="Yes"/>
    <s v="Yes"/>
    <s v="No"/>
    <s v="Yes"/>
    <s v="No"/>
    <s v="No"/>
    <s v="Yes"/>
    <s v="Yes"/>
  </r>
  <r>
    <x v="13"/>
    <s v="P-259"/>
    <x v="2"/>
    <x v="4"/>
    <n v="5"/>
    <n v="115000"/>
    <x v="1"/>
    <s v="Yes"/>
    <x v="0"/>
    <x v="0"/>
    <s v="Yes"/>
    <s v="Yes"/>
    <s v="No"/>
    <s v="Yes"/>
    <s v="Yes"/>
    <s v="Yes"/>
    <s v="Yes"/>
    <s v="Yes"/>
  </r>
  <r>
    <x v="13"/>
    <s v="P-260"/>
    <x v="0"/>
    <x v="0"/>
    <n v="2"/>
    <n v="80000"/>
    <x v="1"/>
    <s v="Yes"/>
    <x v="0"/>
    <x v="0"/>
    <s v="Yes"/>
    <s v="Yes"/>
    <s v="No"/>
    <s v="Yes"/>
    <s v="Yes"/>
    <s v="Yes"/>
    <s v="Yes"/>
    <s v="Yes"/>
  </r>
  <r>
    <x v="14"/>
    <s v="P-261"/>
    <x v="0"/>
    <x v="1"/>
    <n v="1"/>
    <n v="65000"/>
    <x v="1"/>
    <s v="Yes"/>
    <x v="0"/>
    <x v="0"/>
    <s v="Yes"/>
    <s v="Yes"/>
    <s v="No"/>
    <s v="Yes"/>
    <s v="Yes"/>
    <s v="Yes"/>
    <s v="Yes"/>
    <s v="Yes"/>
  </r>
  <r>
    <x v="14"/>
    <s v="P-262"/>
    <x v="0"/>
    <x v="2"/>
    <n v="3"/>
    <n v="100000"/>
    <x v="1"/>
    <s v="Yes"/>
    <x v="0"/>
    <x v="0"/>
    <s v="Yes"/>
    <s v="Yes"/>
    <s v="No"/>
    <s v="Yes"/>
    <s v="Yes"/>
    <s v="Yes"/>
    <s v="Yes"/>
    <s v="Yes"/>
  </r>
  <r>
    <x v="14"/>
    <s v="P-263"/>
    <x v="2"/>
    <x v="3"/>
    <n v="4"/>
    <n v="150000"/>
    <x v="1"/>
    <s v="Yes"/>
    <x v="1"/>
    <x v="1"/>
    <s v="Yes"/>
    <s v="Yes"/>
    <s v="No"/>
    <s v="Yes"/>
    <s v="No"/>
    <s v="No"/>
    <s v="Yes"/>
    <s v="Yes"/>
  </r>
  <r>
    <x v="14"/>
    <s v="P-264"/>
    <x v="2"/>
    <x v="3"/>
    <n v="4"/>
    <n v="150000"/>
    <x v="1"/>
    <s v="Yes"/>
    <x v="1"/>
    <x v="0"/>
    <s v="Yes"/>
    <s v="Yes"/>
    <s v="No"/>
    <s v="Yes"/>
    <s v="No"/>
    <s v="Yes"/>
    <s v="Yes"/>
    <s v="Yes"/>
  </r>
  <r>
    <x v="14"/>
    <s v="P-265"/>
    <x v="3"/>
    <x v="6"/>
    <n v="1"/>
    <n v="35000"/>
    <x v="1"/>
    <s v="Yes"/>
    <x v="1"/>
    <x v="1"/>
    <s v="Yes"/>
    <s v="Yes"/>
    <s v="No"/>
    <s v="Yes"/>
    <s v="No"/>
    <s v="No"/>
    <s v="Yes"/>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83346D-15DB-4BE7-8933-0972485015BB}"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location ref="A22:B29" firstHeaderRow="1" firstDataRow="1" firstDataCol="1"/>
  <pivotFields count="18">
    <pivotField compact="0" outline="0" showAll="0">
      <items count="16">
        <item x="8"/>
        <item x="3"/>
        <item x="11"/>
        <item x="6"/>
        <item x="1"/>
        <item x="2"/>
        <item x="9"/>
        <item x="5"/>
        <item x="10"/>
        <item x="14"/>
        <item x="12"/>
        <item x="4"/>
        <item x="13"/>
        <item x="7"/>
        <item x="0"/>
        <item t="default"/>
      </items>
    </pivotField>
    <pivotField compact="0" outline="0" showAll="0"/>
    <pivotField compact="0" outline="0" showAll="0">
      <items count="5">
        <item x="0"/>
        <item x="2"/>
        <item x="3"/>
        <item x="1"/>
        <item t="default"/>
      </items>
    </pivotField>
    <pivotField axis="axisRow" compact="0" outline="0" showAll="0" sortType="ascending">
      <items count="8">
        <item x="6"/>
        <item x="1"/>
        <item x="0"/>
        <item x="2"/>
        <item x="3"/>
        <item x="4"/>
        <item x="5"/>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7">
    <i>
      <x/>
    </i>
    <i>
      <x v="1"/>
    </i>
    <i>
      <x v="2"/>
    </i>
    <i>
      <x v="3"/>
    </i>
    <i>
      <x v="4"/>
    </i>
    <i>
      <x v="6"/>
    </i>
    <i>
      <x v="5"/>
    </i>
  </rowItems>
  <colItems count="1">
    <i/>
  </colItems>
  <dataFields count="1">
    <dataField name="Avg Rent (ksh)" fld="5" subtotal="average" baseField="3" baseItem="0" numFmtId="164"/>
  </dataFields>
  <formats count="5">
    <format dxfId="4">
      <pivotArea type="all" dataOnly="0" outline="0" fieldPosition="0"/>
    </format>
    <format dxfId="3">
      <pivotArea outline="0" collapsedLevelsAreSubtotals="1" fieldPosition="0"/>
    </format>
    <format dxfId="2">
      <pivotArea field="3" type="button" dataOnly="0" labelOnly="1" outline="0" axis="axisRow" fieldPosition="0"/>
    </format>
    <format dxfId="1">
      <pivotArea dataOnly="0" labelOnly="1" outline="0" fieldPosition="0">
        <references count="1">
          <reference field="3" count="0"/>
        </references>
      </pivotArea>
    </format>
    <format dxfId="0">
      <pivotArea dataOnly="0" labelOnly="1" outline="0" fieldPosition="0">
        <references count="1">
          <reference field="4294967294" count="1">
            <x v="0"/>
          </reference>
        </references>
      </pivotArea>
    </format>
  </format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F810D3-A233-4638-AB0E-7ABD96D10D37}" name="PivotTable2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I3:J7" firstHeaderRow="1" firstDataRow="1" firstDataCol="1"/>
  <pivotFields count="18">
    <pivotField compact="0" outline="0" showAll="0">
      <items count="16">
        <item x="8"/>
        <item x="3"/>
        <item x="11"/>
        <item x="6"/>
        <item x="1"/>
        <item x="2"/>
        <item x="9"/>
        <item x="5"/>
        <item x="10"/>
        <item x="14"/>
        <item x="12"/>
        <item x="4"/>
        <item x="13"/>
        <item x="7"/>
        <item x="0"/>
        <item t="default"/>
      </items>
    </pivotField>
    <pivotField compact="0" outline="0" showAll="0"/>
    <pivotField axis="axisRow" compact="0" outline="0" showAll="0">
      <items count="5">
        <item x="0"/>
        <item x="2"/>
        <item x="3"/>
        <item x="1"/>
        <item t="default"/>
      </items>
    </pivotField>
    <pivotField compact="0" outline="0" showAll="0">
      <items count="8">
        <item x="6"/>
        <item x="1"/>
        <item x="0"/>
        <item x="2"/>
        <item x="3"/>
        <item x="4"/>
        <item x="5"/>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4">
    <i>
      <x/>
    </i>
    <i>
      <x v="1"/>
    </i>
    <i>
      <x v="2"/>
    </i>
    <i>
      <x v="3"/>
    </i>
  </rowItems>
  <colItems count="1">
    <i/>
  </colItems>
  <dataFields count="1">
    <dataField name="Avg Rent (ksh)" fld="5" subtotal="average" baseField="2" baseItem="1" numFmtId="164"/>
  </dataFields>
  <formats count="7">
    <format dxfId="11">
      <pivotArea outline="0" fieldPosition="0">
        <references count="2">
          <reference field="4294967294" count="1" selected="0">
            <x v="0"/>
          </reference>
          <reference field="2" count="1" selected="0">
            <x v="2"/>
          </reference>
        </references>
      </pivotArea>
    </format>
    <format dxfId="10">
      <pivotArea outline="0" fieldPosition="0">
        <references count="1">
          <reference field="4294967294" count="1">
            <x v="0"/>
          </reference>
        </references>
      </pivotArea>
    </format>
    <format dxfId="9">
      <pivotArea type="all" dataOnly="0" outline="0" fieldPosition="0"/>
    </format>
    <format dxfId="8">
      <pivotArea outline="0" collapsedLevelsAreSubtotals="1" fieldPosition="0"/>
    </format>
    <format dxfId="7">
      <pivotArea field="2" type="button" dataOnly="0" labelOnly="1" outline="0" axis="axisRow" fieldPosition="0"/>
    </format>
    <format dxfId="6">
      <pivotArea dataOnly="0" labelOnly="1" outline="0" fieldPosition="0">
        <references count="1">
          <reference field="2" count="0"/>
        </references>
      </pivotArea>
    </format>
    <format dxfId="5">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EB4A6A-E441-495A-8DAB-1296437D73A0}" name="PivotTable2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E11:G16" firstHeaderRow="1" firstDataRow="2" firstDataCol="1"/>
  <pivotFields count="18">
    <pivotField compact="0" outline="0" showAll="0">
      <items count="16">
        <item x="8"/>
        <item x="3"/>
        <item x="11"/>
        <item x="6"/>
        <item x="1"/>
        <item x="2"/>
        <item x="9"/>
        <item x="5"/>
        <item x="10"/>
        <item x="14"/>
        <item x="12"/>
        <item x="4"/>
        <item x="13"/>
        <item x="7"/>
        <item x="0"/>
        <item t="default"/>
      </items>
    </pivotField>
    <pivotField compact="0" outline="0" showAll="0"/>
    <pivotField axis="axisRow" compact="0" outline="0" showAll="0">
      <items count="5">
        <item x="0"/>
        <item x="2"/>
        <item x="3"/>
        <item x="1"/>
        <item t="default"/>
      </items>
    </pivotField>
    <pivotField compact="0" outline="0" showAll="0">
      <items count="8">
        <item x="6"/>
        <item x="1"/>
        <item x="0"/>
        <item x="2"/>
        <item x="3"/>
        <item x="4"/>
        <item x="5"/>
        <item t="default"/>
      </items>
    </pivotField>
    <pivotField compact="0" outline="0" showAll="0"/>
    <pivotField dataField="1" compact="0"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4">
    <i>
      <x/>
    </i>
    <i>
      <x v="1"/>
    </i>
    <i>
      <x v="2"/>
    </i>
    <i>
      <x v="3"/>
    </i>
  </rowItems>
  <colFields count="1">
    <field x="6"/>
  </colFields>
  <colItems count="2">
    <i>
      <x/>
    </i>
    <i>
      <x v="1"/>
    </i>
  </colItems>
  <dataFields count="1">
    <dataField name="Average of Rent (ksh)" fld="5" subtotal="average" baseField="2" baseItem="2" numFmtId="164"/>
  </dataFields>
  <formats count="8">
    <format dxfId="19">
      <pivotArea type="all" dataOnly="0" outline="0" fieldPosition="0"/>
    </format>
    <format dxfId="18">
      <pivotArea outline="0" collapsedLevelsAreSubtotals="1" fieldPosition="0"/>
    </format>
    <format dxfId="17">
      <pivotArea type="origin" dataOnly="0" labelOnly="1" outline="0" fieldPosition="0"/>
    </format>
    <format dxfId="16">
      <pivotArea field="6" type="button" dataOnly="0" labelOnly="1" outline="0" axis="axisCol" fieldPosition="0"/>
    </format>
    <format dxfId="15">
      <pivotArea type="topRight" dataOnly="0" labelOnly="1" outline="0" fieldPosition="0"/>
    </format>
    <format dxfId="14">
      <pivotArea field="2" type="button" dataOnly="0" labelOnly="1" outline="0" axis="axisRow" fieldPosition="0"/>
    </format>
    <format dxfId="13">
      <pivotArea dataOnly="0" labelOnly="1" outline="0" fieldPosition="0">
        <references count="1">
          <reference field="2" count="0"/>
        </references>
      </pivotArea>
    </format>
    <format dxfId="12">
      <pivotArea dataOnly="0" labelOnly="1" outline="0" fieldPosition="0">
        <references count="1">
          <reference field="6" count="0"/>
        </references>
      </pivotArea>
    </format>
  </formats>
  <chartFormats count="3">
    <chartFormat chart="1" format="2" series="1">
      <pivotArea type="data" outline="0" fieldPosition="0">
        <references count="2">
          <reference field="4294967294" count="1" selected="0">
            <x v="0"/>
          </reference>
          <reference field="6" count="1" selected="0">
            <x v="0"/>
          </reference>
        </references>
      </pivotArea>
    </chartFormat>
    <chartFormat chart="1" format="3" series="1">
      <pivotArea type="data" outline="0" fieldPosition="0">
        <references count="2">
          <reference field="4294967294" count="1" selected="0">
            <x v="0"/>
          </reference>
          <reference field="6" count="1" selected="0">
            <x v="1"/>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4BB058-7F1D-41EA-9FF8-5A9E25325213}"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9">
  <location ref="E3:F7" firstHeaderRow="1" firstDataRow="1" firstDataCol="1"/>
  <pivotFields count="18">
    <pivotField compact="0" outline="0" showAll="0">
      <items count="16">
        <item x="8"/>
        <item x="3"/>
        <item x="11"/>
        <item x="6"/>
        <item x="1"/>
        <item x="2"/>
        <item x="9"/>
        <item x="5"/>
        <item x="10"/>
        <item x="14"/>
        <item x="12"/>
        <item x="4"/>
        <item x="13"/>
        <item x="7"/>
        <item x="0"/>
        <item t="default"/>
      </items>
    </pivotField>
    <pivotField dataField="1" compact="0" outline="0" showAll="0"/>
    <pivotField axis="axisRow" compact="0" outline="0" showAll="0">
      <items count="5">
        <item x="0"/>
        <item x="2"/>
        <item x="3"/>
        <item x="1"/>
        <item t="default"/>
      </items>
    </pivotField>
    <pivotField compact="0" outline="0" showAll="0">
      <items count="8">
        <item x="6"/>
        <item x="1"/>
        <item x="0"/>
        <item x="2"/>
        <item x="3"/>
        <item x="4"/>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4">
    <i>
      <x/>
    </i>
    <i>
      <x v="1"/>
    </i>
    <i>
      <x v="2"/>
    </i>
    <i>
      <x v="3"/>
    </i>
  </rowItems>
  <colItems count="1">
    <i/>
  </colItems>
  <dataFields count="1">
    <dataField name="Count" fld="1" subtotal="count" baseField="0" baseItem="0"/>
  </dataFields>
  <formats count="5">
    <format dxfId="24">
      <pivotArea type="all" dataOnly="0" outline="0" fieldPosition="0"/>
    </format>
    <format dxfId="23">
      <pivotArea outline="0" collapsedLevelsAreSubtotals="1" fieldPosition="0"/>
    </format>
    <format dxfId="22">
      <pivotArea field="2" type="button" dataOnly="0" labelOnly="1" outline="0" axis="axisRow" fieldPosition="0"/>
    </format>
    <format dxfId="21">
      <pivotArea dataOnly="0" labelOnly="1" outline="0" fieldPosition="0">
        <references count="1">
          <reference field="2" count="0"/>
        </references>
      </pivotArea>
    </format>
    <format dxfId="20">
      <pivotArea dataOnly="0" labelOnly="1" outline="0" axis="axisValues" fieldPosition="0"/>
    </format>
  </formats>
  <chartFormats count="5">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2" format="5">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BD150B-C457-4B3E-A933-D4FDCBF5DC32}"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I11:K16" firstHeaderRow="1" firstDataRow="2" firstDataCol="1"/>
  <pivotFields count="18">
    <pivotField compact="0" outline="0" showAll="0">
      <items count="16">
        <item x="8"/>
        <item x="3"/>
        <item x="11"/>
        <item x="6"/>
        <item x="1"/>
        <item x="2"/>
        <item x="9"/>
        <item x="5"/>
        <item x="10"/>
        <item x="14"/>
        <item x="12"/>
        <item x="4"/>
        <item x="13"/>
        <item x="7"/>
        <item x="0"/>
        <item t="default"/>
      </items>
    </pivotField>
    <pivotField compact="0" outline="0" showAll="0"/>
    <pivotField axis="axisRow" compact="0" outline="0" showAll="0">
      <items count="5">
        <item x="0"/>
        <item x="2"/>
        <item x="3"/>
        <item x="1"/>
        <item t="default"/>
      </items>
    </pivotField>
    <pivotField compact="0" outline="0" showAll="0">
      <items count="8">
        <item x="6"/>
        <item x="1"/>
        <item x="0"/>
        <item x="2"/>
        <item x="3"/>
        <item x="4"/>
        <item x="5"/>
        <item t="default"/>
      </items>
    </pivotField>
    <pivotField compact="0" outline="0" showAll="0"/>
    <pivotField dataField="1"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4">
    <i>
      <x/>
    </i>
    <i>
      <x v="1"/>
    </i>
    <i>
      <x v="2"/>
    </i>
    <i>
      <x v="3"/>
    </i>
  </rowItems>
  <colFields count="1">
    <field x="8"/>
  </colFields>
  <colItems count="2">
    <i>
      <x/>
    </i>
    <i>
      <x v="1"/>
    </i>
  </colItems>
  <dataFields count="1">
    <dataField name="Avg Rent (ksh)" fld="5" subtotal="average" baseField="2" baseItem="2" numFmtId="164"/>
  </dataFields>
  <formats count="8">
    <format dxfId="32">
      <pivotArea type="all" dataOnly="0" outline="0" fieldPosition="0"/>
    </format>
    <format dxfId="31">
      <pivotArea outline="0" collapsedLevelsAreSubtotals="1" fieldPosition="0"/>
    </format>
    <format dxfId="30">
      <pivotArea type="origin" dataOnly="0" labelOnly="1" outline="0" fieldPosition="0"/>
    </format>
    <format dxfId="29">
      <pivotArea field="8" type="button" dataOnly="0" labelOnly="1" outline="0" axis="axisCol" fieldPosition="0"/>
    </format>
    <format dxfId="28">
      <pivotArea type="topRight" dataOnly="0" labelOnly="1" outline="0" fieldPosition="0"/>
    </format>
    <format dxfId="27">
      <pivotArea field="2" type="button" dataOnly="0" labelOnly="1" outline="0" axis="axisRow" fieldPosition="0"/>
    </format>
    <format dxfId="26">
      <pivotArea dataOnly="0" labelOnly="1" outline="0" fieldPosition="0">
        <references count="1">
          <reference field="2" count="0"/>
        </references>
      </pivotArea>
    </format>
    <format dxfId="25">
      <pivotArea dataOnly="0" labelOnly="1" outline="0" fieldPosition="0">
        <references count="1">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930E6D-8D13-4A13-A801-ED26710B0353}" name="PivotTable2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1">
  <location ref="E21:G26" firstHeaderRow="1" firstDataRow="2" firstDataCol="1"/>
  <pivotFields count="18">
    <pivotField compact="0" outline="0" showAll="0">
      <items count="16">
        <item x="8"/>
        <item x="3"/>
        <item x="11"/>
        <item x="6"/>
        <item x="1"/>
        <item x="2"/>
        <item x="9"/>
        <item x="5"/>
        <item x="10"/>
        <item x="14"/>
        <item x="12"/>
        <item x="4"/>
        <item x="13"/>
        <item x="7"/>
        <item x="0"/>
        <item t="default"/>
      </items>
    </pivotField>
    <pivotField compact="0" outline="0" showAll="0"/>
    <pivotField axis="axisRow" compact="0" outline="0" showAll="0">
      <items count="5">
        <item x="0"/>
        <item x="2"/>
        <item x="3"/>
        <item x="1"/>
        <item t="default"/>
      </items>
    </pivotField>
    <pivotField compact="0" outline="0" showAll="0">
      <items count="8">
        <item x="6"/>
        <item x="1"/>
        <item x="0"/>
        <item x="2"/>
        <item x="3"/>
        <item x="4"/>
        <item x="5"/>
        <item t="default"/>
      </items>
    </pivotField>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4">
    <i>
      <x/>
    </i>
    <i>
      <x v="1"/>
    </i>
    <i>
      <x v="2"/>
    </i>
    <i>
      <x v="3"/>
    </i>
  </rowItems>
  <colFields count="1">
    <field x="9"/>
  </colFields>
  <colItems count="2">
    <i>
      <x/>
    </i>
    <i>
      <x v="1"/>
    </i>
  </colItems>
  <dataFields count="1">
    <dataField name="Avg Rent (ksh)" fld="5" subtotal="average" baseField="2" baseItem="2" numFmtId="164"/>
  </dataFields>
  <formats count="8">
    <format dxfId="40">
      <pivotArea type="all" dataOnly="0" outline="0" fieldPosition="0"/>
    </format>
    <format dxfId="39">
      <pivotArea outline="0" collapsedLevelsAreSubtotals="1" fieldPosition="0"/>
    </format>
    <format dxfId="38">
      <pivotArea type="origin" dataOnly="0" labelOnly="1" outline="0" fieldPosition="0"/>
    </format>
    <format dxfId="37">
      <pivotArea field="9" type="button" dataOnly="0" labelOnly="1" outline="0" axis="axisCol" fieldPosition="0"/>
    </format>
    <format dxfId="36">
      <pivotArea type="topRight" dataOnly="0" labelOnly="1" outline="0" fieldPosition="0"/>
    </format>
    <format dxfId="35">
      <pivotArea field="2" type="button" dataOnly="0" labelOnly="1" outline="0" axis="axisRow" fieldPosition="0"/>
    </format>
    <format dxfId="34">
      <pivotArea dataOnly="0" labelOnly="1" outline="0" fieldPosition="0">
        <references count="1">
          <reference field="2" count="0"/>
        </references>
      </pivotArea>
    </format>
    <format dxfId="33">
      <pivotArea dataOnly="0" labelOnly="1" outline="0" fieldPosition="0">
        <references count="1">
          <reference field="9" count="0"/>
        </references>
      </pivotArea>
    </format>
  </formats>
  <chartFormats count="6">
    <chartFormat chart="7" format="2" series="1">
      <pivotArea type="data" outline="0" fieldPosition="0">
        <references count="2">
          <reference field="4294967294" count="1" selected="0">
            <x v="0"/>
          </reference>
          <reference field="9" count="1" selected="0">
            <x v="0"/>
          </reference>
        </references>
      </pivotArea>
    </chartFormat>
    <chartFormat chart="7" format="3" series="1">
      <pivotArea type="data" outline="0" fieldPosition="0">
        <references count="2">
          <reference field="4294967294" count="1" selected="0">
            <x v="0"/>
          </reference>
          <reference field="9" count="1" selected="0">
            <x v="1"/>
          </reference>
        </references>
      </pivotArea>
    </chartFormat>
    <chartFormat chart="9" format="2" series="1">
      <pivotArea type="data" outline="0" fieldPosition="0">
        <references count="2">
          <reference field="4294967294" count="1" selected="0">
            <x v="0"/>
          </reference>
          <reference field="9" count="1" selected="0">
            <x v="0"/>
          </reference>
        </references>
      </pivotArea>
    </chartFormat>
    <chartFormat chart="9" format="3" series="1">
      <pivotArea type="data" outline="0" fieldPosition="0">
        <references count="2">
          <reference field="4294967294" count="1" selected="0">
            <x v="0"/>
          </reference>
          <reference field="9" count="1" selected="0">
            <x v="1"/>
          </reference>
        </references>
      </pivotArea>
    </chartFormat>
    <chartFormat chart="9"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43F8EB-B59E-4F65-BB05-889B02AC586F}"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B19" firstHeaderRow="1" firstDataRow="1" firstDataCol="1"/>
  <pivotFields count="18">
    <pivotField axis="axisRow" compact="0" outline="0" showAll="0">
      <items count="16">
        <item x="3"/>
        <item x="11"/>
        <item x="6"/>
        <item x="1"/>
        <item x="2"/>
        <item x="9"/>
        <item x="5"/>
        <item x="10"/>
        <item x="14"/>
        <item x="12"/>
        <item x="4"/>
        <item x="13"/>
        <item x="7"/>
        <item x="0"/>
        <item x="8"/>
        <item t="default"/>
      </items>
    </pivotField>
    <pivotField compact="0" outline="0" showAll="0"/>
    <pivotField dataField="1" compact="0" outline="0" showAll="0" sortType="ascending">
      <items count="5">
        <item x="0"/>
        <item x="2"/>
        <item x="3"/>
        <item x="1"/>
        <item t="default"/>
      </items>
    </pivotField>
    <pivotField compact="0" outline="0" showAll="0">
      <items count="8">
        <item x="6"/>
        <item x="1"/>
        <item x="0"/>
        <item x="2"/>
        <item x="3"/>
        <item x="4"/>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Count" fld="2" subtotal="count" baseField="0" baseItem="0"/>
  </dataFields>
  <formats count="6">
    <format dxfId="46">
      <pivotArea type="all" dataOnly="0" outline="0" fieldPosition="0"/>
    </format>
    <format dxfId="45">
      <pivotArea outline="0" collapsedLevelsAreSubtotals="1" fieldPosition="0"/>
    </format>
    <format dxfId="44">
      <pivotArea field="0" type="button" dataOnly="0" labelOnly="1" outline="0" axis="axisRow" fieldPosition="0"/>
    </format>
    <format dxfId="43">
      <pivotArea dataOnly="0" labelOnly="1" outline="0" fieldPosition="0">
        <references count="1">
          <reference field="0" count="0"/>
        </references>
      </pivotArea>
    </format>
    <format dxfId="42">
      <pivotArea dataOnly="0" labelOnly="1" grandRow="1" outline="0" fieldPosition="0"/>
    </format>
    <format dxfId="41">
      <pivotArea dataOnly="0" labelOnly="1" outline="0" axis="axisValues" fieldPosition="0"/>
    </format>
  </format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Type" xr10:uid="{F7D6EB67-EEC3-43B4-BDD6-8C093243CEA2}" sourceName="Property_Type">
  <pivotTables>
    <pivotTable tabId="3" name="PivotTable27"/>
    <pivotTable tabId="3" name="PivotTable1"/>
    <pivotTable tabId="3" name="PivotTable17"/>
    <pivotTable tabId="3" name="PivotTable19"/>
    <pivotTable tabId="3" name="PivotTable2"/>
    <pivotTable tabId="3" name="PivotTable25"/>
    <pivotTable tabId="3" name="PivotTable28"/>
  </pivotTables>
  <data>
    <tabular pivotCacheId="214654783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rooms" xr10:uid="{B6395EB5-4878-41C8-AAEF-DCB74C44948D}" sourceName="Bedrooms">
  <pivotTables>
    <pivotTable tabId="3" name="PivotTable27"/>
    <pivotTable tabId="3" name="PivotTable1"/>
    <pivotTable tabId="3" name="PivotTable17"/>
    <pivotTable tabId="3" name="PivotTable19"/>
    <pivotTable tabId="3" name="PivotTable2"/>
    <pivotTable tabId="3" name="PivotTable25"/>
    <pivotTable tabId="3" name="PivotTable28"/>
  </pivotTables>
  <data>
    <tabular pivotCacheId="2146547838">
      <items count="7">
        <i x="6" s="1"/>
        <i x="1" s="1"/>
        <i x="0"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ighbourhood" xr10:uid="{BEC98166-71F6-49DE-A5F2-E2F02CAE2789}" sourceName="Neighbourhood">
  <pivotTables>
    <pivotTable tabId="3" name="PivotTable1"/>
    <pivotTable tabId="3" name="PivotTable17"/>
    <pivotTable tabId="3" name="PivotTable19"/>
    <pivotTable tabId="3" name="PivotTable2"/>
    <pivotTable tabId="3" name="PivotTable25"/>
    <pivotTable tabId="3" name="PivotTable27"/>
    <pivotTable tabId="3" name="PivotTable28"/>
  </pivotTables>
  <data>
    <tabular pivotCacheId="2146547838">
      <items count="15">
        <i x="8" s="1"/>
        <i x="3" s="1"/>
        <i x="11" s="1"/>
        <i x="6" s="1"/>
        <i x="1" s="1"/>
        <i x="2" s="1"/>
        <i x="9" s="1"/>
        <i x="5" s="1"/>
        <i x="10" s="1"/>
        <i x="14" s="1"/>
        <i x="12" s="1"/>
        <i x="4" s="1"/>
        <i x="13" s="1"/>
        <i x="7"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perty_Type" xr10:uid="{6E81DCC8-FCBA-48A9-8EA0-44472C06A8D4}" cache="Slicer_Property_Type" caption="Property_Type" style="SlicerStyleLight1 2" rowHeight="241300"/>
  <slicer name="Bedrooms" xr10:uid="{A79CBA88-AFE2-4CC1-84B8-45F322F3F368}" cache="Slicer_Bedrooms" caption="Bedrooms" columnCount="2" style="SlicerStyleLight1 2" rowHeight="241300"/>
  <slicer name="Neighbourhood" xr10:uid="{EC7F67F1-2B8A-433A-8293-485BF717A335}" cache="Slicer_Neighbourhood" caption="Neighbourhood" columnCount="3"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A874D8-EE29-4AC7-BE67-855957B70C9F}" name="Table1" displayName="Table1" ref="A1:Q266" totalsRowShown="0">
  <autoFilter ref="A1:Q266" xr:uid="{A2A874D8-EE29-4AC7-BE67-855957B70C9F}"/>
  <tableColumns count="17">
    <tableColumn id="1" xr3:uid="{DF1C35FB-0DEE-4356-930D-5F72310D33D8}" name="Neighbourhood"/>
    <tableColumn id="19" xr3:uid="{DEE6E967-ADF2-4100-A71C-3DF371A4E9B5}" name="Property_ID" dataDxfId="52">
      <calculatedColumnFormula>"P-"&amp;TEXT(ROW(A2)-1,"000")</calculatedColumnFormula>
    </tableColumn>
    <tableColumn id="2" xr3:uid="{042EFC40-26D5-49DB-96BE-AA74FBC21DD2}" name="Property_Type"/>
    <tableColumn id="3" xr3:uid="{A7433B9F-6C5B-49E9-B1D3-A1A555B2C9A8}" name="Bedrooms"/>
    <tableColumn id="4" xr3:uid="{C87DB038-BC8E-4DE3-9072-7E093B3E7ABD}" name="Bathrooms"/>
    <tableColumn id="5" xr3:uid="{283C997D-B161-4C04-AE7D-453FC13D3569}" name="Rent (ksh)"/>
    <tableColumn id="6" xr3:uid="{6BD8D976-D99F-4FE4-8122-462639F9720C}" name="Furnished"/>
    <tableColumn id="7" xr3:uid="{163B0852-6A33-4AF9-AC7A-914BC9067F05}" name="Parking"/>
    <tableColumn id="8" xr3:uid="{49E6CC14-69E9-4EEA-BD47-B95E5A50FDA3}" name="Gym"/>
    <tableColumn id="9" xr3:uid="{872CB5AD-BA58-4CFF-B91C-93E55B15E604}" name="Swimming Pool"/>
    <tableColumn id="10" xr3:uid="{F9FE92B2-07CE-481B-B73A-E2C6EDCA9975}" name="Service Charge Included"/>
    <tableColumn id="11" xr3:uid="{830A8308-A7F6-444C-9FDC-B068EE4B12CA}" name="Balcony"/>
    <tableColumn id="13" xr3:uid="{066064AF-8AF5-48B5-8E2D-230501E6D144}" name="Column1" dataDxfId="51">
      <calculatedColumnFormula>PROPER(TRIM(G2))</calculatedColumnFormula>
    </tableColumn>
    <tableColumn id="14" xr3:uid="{E5DF6D8D-C65D-4603-A2F3-4202C52F7BFE}" name="Column2" dataDxfId="50">
      <calculatedColumnFormula>PROPER(TRIM(H2))</calculatedColumnFormula>
    </tableColumn>
    <tableColumn id="15" xr3:uid="{06EDDD09-E5BD-499A-ABC3-C49E5820B033}" name="Column3" dataDxfId="49">
      <calculatedColumnFormula>PROPER(TRIM(I2))</calculatedColumnFormula>
    </tableColumn>
    <tableColumn id="16" xr3:uid="{791005B9-52E7-4C3E-8854-921071747299}" name="Column4" dataDxfId="48">
      <calculatedColumnFormula>PROPER(TRIM(J2))</calculatedColumnFormula>
    </tableColumn>
    <tableColumn id="18" xr3:uid="{E4870143-5881-45E1-86DA-63B011A064D9}" name="Balcony2" dataDxfId="47">
      <calculatedColumnFormula>PROPER(TRIM(L2))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FA837-47DB-4148-B330-AEA218C66BDD}">
  <dimension ref="A1:K265"/>
  <sheetViews>
    <sheetView workbookViewId="0">
      <pane ySplit="1" topLeftCell="A23" activePane="bottomLeft" state="frozen"/>
      <selection pane="bottomLeft" activeCell="D274" sqref="D274"/>
    </sheetView>
  </sheetViews>
  <sheetFormatPr defaultRowHeight="15" x14ac:dyDescent="0.25"/>
  <cols>
    <col min="1" max="1" width="15.140625" bestFit="1" customWidth="1"/>
    <col min="2" max="2" width="14.140625" bestFit="1" customWidth="1"/>
    <col min="3" max="3" width="10" bestFit="1" customWidth="1"/>
    <col min="4" max="4" width="10.5703125" bestFit="1" customWidth="1"/>
    <col min="5" max="5" width="10" bestFit="1" customWidth="1"/>
    <col min="6" max="6" width="9.85546875" bestFit="1" customWidth="1"/>
    <col min="8" max="8" width="5" bestFit="1" customWidth="1"/>
    <col min="9" max="9" width="14.85546875" bestFit="1" customWidth="1"/>
    <col min="10" max="10" width="12" bestFit="1" customWidth="1"/>
    <col min="11" max="11" width="7.85546875" bestFit="1" customWidth="1"/>
  </cols>
  <sheetData>
    <row r="1" spans="1:11" x14ac:dyDescent="0.25">
      <c r="A1" t="s">
        <v>0</v>
      </c>
      <c r="B1" t="s">
        <v>36</v>
      </c>
      <c r="C1" t="s">
        <v>1</v>
      </c>
      <c r="D1" t="s">
        <v>8</v>
      </c>
      <c r="E1" t="s">
        <v>2</v>
      </c>
      <c r="F1" t="s">
        <v>3</v>
      </c>
      <c r="G1" t="s">
        <v>4</v>
      </c>
      <c r="H1" t="s">
        <v>5</v>
      </c>
      <c r="I1" t="s">
        <v>6</v>
      </c>
      <c r="J1" t="s">
        <v>19</v>
      </c>
      <c r="K1" t="s">
        <v>20</v>
      </c>
    </row>
    <row r="2" spans="1:11" x14ac:dyDescent="0.25">
      <c r="A2" t="s">
        <v>32</v>
      </c>
      <c r="B2" t="s">
        <v>7</v>
      </c>
      <c r="C2">
        <v>2</v>
      </c>
      <c r="D2">
        <v>2</v>
      </c>
      <c r="E2">
        <v>200000</v>
      </c>
      <c r="F2" t="s">
        <v>9</v>
      </c>
      <c r="G2" t="s">
        <v>9</v>
      </c>
      <c r="H2" t="s">
        <v>11</v>
      </c>
      <c r="I2" t="s">
        <v>11</v>
      </c>
      <c r="J2" t="s">
        <v>11</v>
      </c>
      <c r="K2" t="s">
        <v>11</v>
      </c>
    </row>
    <row r="3" spans="1:11" x14ac:dyDescent="0.25">
      <c r="A3" t="s">
        <v>32</v>
      </c>
      <c r="B3" t="s">
        <v>7</v>
      </c>
      <c r="C3">
        <v>1</v>
      </c>
      <c r="D3">
        <v>2</v>
      </c>
      <c r="E3">
        <v>150000</v>
      </c>
      <c r="F3" t="s">
        <v>9</v>
      </c>
      <c r="G3" t="s">
        <v>9</v>
      </c>
      <c r="H3" t="s">
        <v>11</v>
      </c>
      <c r="I3" t="s">
        <v>11</v>
      </c>
      <c r="J3" t="s">
        <v>11</v>
      </c>
      <c r="K3" t="s">
        <v>11</v>
      </c>
    </row>
    <row r="4" spans="1:11" x14ac:dyDescent="0.25">
      <c r="A4" t="s">
        <v>32</v>
      </c>
      <c r="B4" t="s">
        <v>7</v>
      </c>
      <c r="C4">
        <v>3</v>
      </c>
      <c r="D4">
        <v>3</v>
      </c>
      <c r="E4">
        <v>350000</v>
      </c>
      <c r="F4" t="s">
        <v>9</v>
      </c>
      <c r="G4" t="s">
        <v>9</v>
      </c>
      <c r="H4" t="s">
        <v>11</v>
      </c>
      <c r="I4" t="s">
        <v>11</v>
      </c>
      <c r="J4" t="s">
        <v>11</v>
      </c>
      <c r="K4" t="s">
        <v>11</v>
      </c>
    </row>
    <row r="5" spans="1:11" x14ac:dyDescent="0.25">
      <c r="A5" t="s">
        <v>32</v>
      </c>
      <c r="B5" t="s">
        <v>7</v>
      </c>
      <c r="C5">
        <v>3</v>
      </c>
      <c r="D5">
        <v>3</v>
      </c>
      <c r="E5">
        <v>230000</v>
      </c>
      <c r="F5" t="s">
        <v>9</v>
      </c>
      <c r="G5" t="s">
        <v>9</v>
      </c>
      <c r="H5" t="s">
        <v>11</v>
      </c>
      <c r="I5" t="s">
        <v>11</v>
      </c>
      <c r="J5" t="s">
        <v>11</v>
      </c>
      <c r="K5" t="s">
        <v>11</v>
      </c>
    </row>
    <row r="6" spans="1:11" x14ac:dyDescent="0.25">
      <c r="A6" t="s">
        <v>32</v>
      </c>
      <c r="B6" t="s">
        <v>7</v>
      </c>
      <c r="C6">
        <v>3</v>
      </c>
      <c r="D6">
        <v>3</v>
      </c>
      <c r="E6">
        <v>350000</v>
      </c>
      <c r="F6" t="s">
        <v>9</v>
      </c>
      <c r="G6" t="s">
        <v>9</v>
      </c>
      <c r="H6" t="s">
        <v>12</v>
      </c>
      <c r="I6" t="s">
        <v>12</v>
      </c>
      <c r="J6" t="s">
        <v>11</v>
      </c>
      <c r="K6" t="s">
        <v>11</v>
      </c>
    </row>
    <row r="7" spans="1:11" x14ac:dyDescent="0.25">
      <c r="A7" t="s">
        <v>32</v>
      </c>
      <c r="B7" t="s">
        <v>7</v>
      </c>
      <c r="C7">
        <v>1</v>
      </c>
      <c r="D7">
        <v>1</v>
      </c>
      <c r="E7">
        <v>130000</v>
      </c>
      <c r="F7" t="s">
        <v>9</v>
      </c>
      <c r="G7" t="s">
        <v>9</v>
      </c>
      <c r="H7" t="s">
        <v>12</v>
      </c>
      <c r="I7" t="s">
        <v>12</v>
      </c>
      <c r="J7" t="s">
        <v>11</v>
      </c>
      <c r="K7" t="s">
        <v>11</v>
      </c>
    </row>
    <row r="8" spans="1:11" x14ac:dyDescent="0.25">
      <c r="A8" t="s">
        <v>32</v>
      </c>
      <c r="B8" t="s">
        <v>7</v>
      </c>
      <c r="C8">
        <v>3</v>
      </c>
      <c r="D8">
        <v>2</v>
      </c>
      <c r="E8">
        <v>125000</v>
      </c>
      <c r="F8" t="s">
        <v>10</v>
      </c>
      <c r="G8" t="s">
        <v>9</v>
      </c>
      <c r="H8" t="s">
        <v>11</v>
      </c>
      <c r="I8" t="s">
        <v>12</v>
      </c>
      <c r="J8" t="s">
        <v>11</v>
      </c>
      <c r="K8" t="s">
        <v>11</v>
      </c>
    </row>
    <row r="9" spans="1:11" x14ac:dyDescent="0.25">
      <c r="A9" t="s">
        <v>32</v>
      </c>
      <c r="B9" t="s">
        <v>7</v>
      </c>
      <c r="C9">
        <v>4</v>
      </c>
      <c r="D9">
        <v>4</v>
      </c>
      <c r="E9">
        <v>170000</v>
      </c>
      <c r="F9" t="s">
        <v>10</v>
      </c>
      <c r="G9" t="s">
        <v>9</v>
      </c>
      <c r="H9" t="s">
        <v>11</v>
      </c>
      <c r="I9" t="s">
        <v>12</v>
      </c>
      <c r="J9" t="s">
        <v>11</v>
      </c>
      <c r="K9" t="s">
        <v>11</v>
      </c>
    </row>
    <row r="10" spans="1:11" x14ac:dyDescent="0.25">
      <c r="A10" t="s">
        <v>32</v>
      </c>
      <c r="B10" t="s">
        <v>7</v>
      </c>
      <c r="C10">
        <v>4</v>
      </c>
      <c r="D10">
        <v>4</v>
      </c>
      <c r="E10">
        <v>180000</v>
      </c>
      <c r="F10" t="s">
        <v>10</v>
      </c>
      <c r="G10" t="s">
        <v>9</v>
      </c>
      <c r="H10" t="s">
        <v>11</v>
      </c>
      <c r="I10" t="s">
        <v>12</v>
      </c>
      <c r="J10" t="s">
        <v>11</v>
      </c>
      <c r="K10" t="s">
        <v>11</v>
      </c>
    </row>
    <row r="11" spans="1:11" x14ac:dyDescent="0.25">
      <c r="A11" t="s">
        <v>32</v>
      </c>
      <c r="B11" t="s">
        <v>7</v>
      </c>
      <c r="C11">
        <v>4</v>
      </c>
      <c r="D11">
        <v>4</v>
      </c>
      <c r="E11">
        <v>160000</v>
      </c>
      <c r="F11" t="s">
        <v>10</v>
      </c>
      <c r="G11" t="s">
        <v>9</v>
      </c>
      <c r="H11" t="s">
        <v>11</v>
      </c>
      <c r="I11" t="s">
        <v>12</v>
      </c>
      <c r="J11" t="s">
        <v>11</v>
      </c>
      <c r="K11" t="s">
        <v>11</v>
      </c>
    </row>
    <row r="12" spans="1:11" x14ac:dyDescent="0.25">
      <c r="A12" t="s">
        <v>32</v>
      </c>
      <c r="B12" t="s">
        <v>7</v>
      </c>
      <c r="C12">
        <v>2</v>
      </c>
      <c r="D12">
        <v>2</v>
      </c>
      <c r="E12">
        <v>250000</v>
      </c>
      <c r="F12" t="s">
        <v>11</v>
      </c>
      <c r="G12" t="s">
        <v>9</v>
      </c>
      <c r="H12" t="s">
        <v>11</v>
      </c>
      <c r="I12" t="s">
        <v>12</v>
      </c>
      <c r="J12" t="s">
        <v>11</v>
      </c>
      <c r="K12" t="s">
        <v>11</v>
      </c>
    </row>
    <row r="13" spans="1:11" x14ac:dyDescent="0.25">
      <c r="A13" t="s">
        <v>32</v>
      </c>
      <c r="B13" t="s">
        <v>7</v>
      </c>
      <c r="C13">
        <v>2</v>
      </c>
      <c r="D13">
        <v>2</v>
      </c>
      <c r="E13">
        <v>145000</v>
      </c>
      <c r="F13" t="s">
        <v>12</v>
      </c>
      <c r="G13" t="s">
        <v>9</v>
      </c>
      <c r="H13" t="s">
        <v>11</v>
      </c>
      <c r="I13" t="s">
        <v>12</v>
      </c>
      <c r="J13" t="s">
        <v>11</v>
      </c>
      <c r="K13" t="s">
        <v>11</v>
      </c>
    </row>
    <row r="14" spans="1:11" x14ac:dyDescent="0.25">
      <c r="A14" t="s">
        <v>32</v>
      </c>
      <c r="B14" t="s">
        <v>7</v>
      </c>
      <c r="C14">
        <v>1</v>
      </c>
      <c r="D14">
        <v>1</v>
      </c>
      <c r="E14">
        <v>160000</v>
      </c>
      <c r="F14" t="s">
        <v>11</v>
      </c>
      <c r="G14" t="s">
        <v>9</v>
      </c>
      <c r="H14" t="s">
        <v>11</v>
      </c>
      <c r="I14" t="s">
        <v>12</v>
      </c>
      <c r="J14" t="s">
        <v>11</v>
      </c>
      <c r="K14" t="s">
        <v>11</v>
      </c>
    </row>
    <row r="15" spans="1:11" x14ac:dyDescent="0.25">
      <c r="A15" t="s">
        <v>32</v>
      </c>
      <c r="B15" t="s">
        <v>7</v>
      </c>
      <c r="C15">
        <v>1</v>
      </c>
      <c r="D15">
        <v>1</v>
      </c>
      <c r="E15">
        <v>80000</v>
      </c>
      <c r="F15" t="s">
        <v>12</v>
      </c>
      <c r="G15" t="s">
        <v>9</v>
      </c>
      <c r="H15" t="s">
        <v>11</v>
      </c>
      <c r="I15" t="s">
        <v>12</v>
      </c>
      <c r="J15" t="s">
        <v>11</v>
      </c>
      <c r="K15" t="s">
        <v>11</v>
      </c>
    </row>
    <row r="16" spans="1:11" x14ac:dyDescent="0.25">
      <c r="A16" t="s">
        <v>32</v>
      </c>
      <c r="B16" t="s">
        <v>7</v>
      </c>
      <c r="C16">
        <v>2</v>
      </c>
      <c r="D16">
        <v>2</v>
      </c>
      <c r="E16">
        <v>170000</v>
      </c>
      <c r="F16" t="s">
        <v>11</v>
      </c>
      <c r="G16" t="s">
        <v>9</v>
      </c>
      <c r="H16" t="s">
        <v>11</v>
      </c>
      <c r="I16" t="s">
        <v>12</v>
      </c>
      <c r="J16" t="s">
        <v>11</v>
      </c>
      <c r="K16" t="s">
        <v>11</v>
      </c>
    </row>
    <row r="17" spans="1:11" x14ac:dyDescent="0.25">
      <c r="A17" t="s">
        <v>32</v>
      </c>
      <c r="B17" t="s">
        <v>7</v>
      </c>
      <c r="C17">
        <v>1</v>
      </c>
      <c r="D17">
        <v>1</v>
      </c>
      <c r="E17">
        <v>125000</v>
      </c>
      <c r="F17" t="s">
        <v>11</v>
      </c>
      <c r="G17" t="s">
        <v>9</v>
      </c>
      <c r="H17" t="s">
        <v>11</v>
      </c>
      <c r="I17" t="s">
        <v>12</v>
      </c>
      <c r="J17" t="s">
        <v>11</v>
      </c>
      <c r="K17" t="s">
        <v>11</v>
      </c>
    </row>
    <row r="18" spans="1:11" x14ac:dyDescent="0.25">
      <c r="A18" t="s">
        <v>32</v>
      </c>
      <c r="B18" t="s">
        <v>7</v>
      </c>
      <c r="C18">
        <v>2</v>
      </c>
      <c r="D18">
        <v>2</v>
      </c>
      <c r="E18">
        <v>220000</v>
      </c>
      <c r="F18" t="s">
        <v>11</v>
      </c>
      <c r="G18" t="s">
        <v>9</v>
      </c>
      <c r="H18" t="s">
        <v>11</v>
      </c>
      <c r="I18" t="s">
        <v>12</v>
      </c>
      <c r="J18" t="s">
        <v>11</v>
      </c>
      <c r="K18" t="s">
        <v>11</v>
      </c>
    </row>
    <row r="19" spans="1:11" x14ac:dyDescent="0.25">
      <c r="A19" t="s">
        <v>32</v>
      </c>
      <c r="B19" t="s">
        <v>7</v>
      </c>
      <c r="C19">
        <v>2</v>
      </c>
      <c r="D19">
        <v>2</v>
      </c>
      <c r="E19">
        <v>230000</v>
      </c>
      <c r="F19" t="s">
        <v>11</v>
      </c>
      <c r="G19" t="s">
        <v>9</v>
      </c>
      <c r="H19" t="s">
        <v>11</v>
      </c>
      <c r="I19" t="s">
        <v>12</v>
      </c>
      <c r="J19" t="s">
        <v>11</v>
      </c>
      <c r="K19" t="s">
        <v>11</v>
      </c>
    </row>
    <row r="20" spans="1:11" x14ac:dyDescent="0.25">
      <c r="A20" t="s">
        <v>32</v>
      </c>
      <c r="B20" t="s">
        <v>7</v>
      </c>
      <c r="C20">
        <v>2</v>
      </c>
      <c r="D20">
        <v>2</v>
      </c>
      <c r="E20">
        <v>250000</v>
      </c>
      <c r="F20" t="s">
        <v>11</v>
      </c>
      <c r="G20" t="s">
        <v>9</v>
      </c>
      <c r="H20" t="s">
        <v>11</v>
      </c>
      <c r="I20" t="s">
        <v>12</v>
      </c>
      <c r="J20" t="s">
        <v>11</v>
      </c>
      <c r="K20" t="s">
        <v>11</v>
      </c>
    </row>
    <row r="21" spans="1:11" x14ac:dyDescent="0.25">
      <c r="A21" t="s">
        <v>32</v>
      </c>
      <c r="B21" t="s">
        <v>7</v>
      </c>
      <c r="C21">
        <v>2</v>
      </c>
      <c r="D21">
        <v>2</v>
      </c>
      <c r="E21">
        <v>240000</v>
      </c>
      <c r="F21" t="s">
        <v>11</v>
      </c>
      <c r="G21" t="s">
        <v>9</v>
      </c>
      <c r="H21" t="s">
        <v>11</v>
      </c>
      <c r="I21" t="s">
        <v>12</v>
      </c>
      <c r="J21" t="s">
        <v>11</v>
      </c>
      <c r="K21" t="s">
        <v>11</v>
      </c>
    </row>
    <row r="22" spans="1:11" x14ac:dyDescent="0.25">
      <c r="A22" t="s">
        <v>32</v>
      </c>
      <c r="B22" t="s">
        <v>7</v>
      </c>
      <c r="C22">
        <v>2</v>
      </c>
      <c r="D22">
        <v>2</v>
      </c>
      <c r="E22">
        <v>300000</v>
      </c>
      <c r="F22" t="s">
        <v>11</v>
      </c>
      <c r="G22" t="s">
        <v>9</v>
      </c>
      <c r="H22" t="s">
        <v>11</v>
      </c>
      <c r="I22" t="s">
        <v>12</v>
      </c>
      <c r="J22" t="s">
        <v>11</v>
      </c>
      <c r="K22" t="s">
        <v>11</v>
      </c>
    </row>
    <row r="23" spans="1:11" x14ac:dyDescent="0.25">
      <c r="A23" t="s">
        <v>32</v>
      </c>
      <c r="B23" t="s">
        <v>7</v>
      </c>
      <c r="C23">
        <v>2</v>
      </c>
      <c r="D23">
        <v>2</v>
      </c>
      <c r="E23">
        <v>90000</v>
      </c>
      <c r="F23" t="s">
        <v>12</v>
      </c>
      <c r="G23" t="s">
        <v>9</v>
      </c>
      <c r="H23" t="s">
        <v>11</v>
      </c>
      <c r="I23" t="s">
        <v>12</v>
      </c>
      <c r="J23" t="s">
        <v>11</v>
      </c>
      <c r="K23" t="s">
        <v>11</v>
      </c>
    </row>
    <row r="24" spans="1:11" x14ac:dyDescent="0.25">
      <c r="A24" t="s">
        <v>32</v>
      </c>
      <c r="B24" t="s">
        <v>7</v>
      </c>
      <c r="C24">
        <v>2</v>
      </c>
      <c r="D24">
        <v>2</v>
      </c>
      <c r="E24">
        <v>180000</v>
      </c>
      <c r="F24" t="s">
        <v>12</v>
      </c>
      <c r="G24" t="s">
        <v>9</v>
      </c>
      <c r="H24" t="s">
        <v>11</v>
      </c>
      <c r="I24" t="s">
        <v>12</v>
      </c>
      <c r="J24" t="s">
        <v>11</v>
      </c>
      <c r="K24" t="s">
        <v>11</v>
      </c>
    </row>
    <row r="25" spans="1:11" x14ac:dyDescent="0.25">
      <c r="A25" t="s">
        <v>32</v>
      </c>
      <c r="B25" t="s">
        <v>7</v>
      </c>
      <c r="C25">
        <v>4</v>
      </c>
      <c r="D25">
        <v>5</v>
      </c>
      <c r="E25">
        <v>250000</v>
      </c>
      <c r="F25" t="s">
        <v>12</v>
      </c>
      <c r="G25" t="s">
        <v>9</v>
      </c>
      <c r="H25" t="s">
        <v>11</v>
      </c>
      <c r="I25" t="s">
        <v>12</v>
      </c>
      <c r="J25" t="s">
        <v>11</v>
      </c>
      <c r="K25" t="s">
        <v>11</v>
      </c>
    </row>
    <row r="26" spans="1:11" x14ac:dyDescent="0.25">
      <c r="A26" t="s">
        <v>32</v>
      </c>
      <c r="B26" t="s">
        <v>7</v>
      </c>
      <c r="C26">
        <v>2</v>
      </c>
      <c r="D26">
        <v>2</v>
      </c>
      <c r="E26">
        <v>250000</v>
      </c>
      <c r="F26" t="s">
        <v>11</v>
      </c>
      <c r="G26" t="s">
        <v>9</v>
      </c>
      <c r="H26" t="s">
        <v>11</v>
      </c>
      <c r="I26" t="s">
        <v>12</v>
      </c>
      <c r="J26" t="s">
        <v>11</v>
      </c>
      <c r="K26" t="s">
        <v>11</v>
      </c>
    </row>
    <row r="27" spans="1:11" x14ac:dyDescent="0.25">
      <c r="A27" t="s">
        <v>13</v>
      </c>
      <c r="B27" t="s">
        <v>7</v>
      </c>
      <c r="C27">
        <v>2</v>
      </c>
      <c r="D27">
        <v>2</v>
      </c>
      <c r="E27">
        <v>130000</v>
      </c>
      <c r="F27" t="s">
        <v>9</v>
      </c>
      <c r="G27" t="s">
        <v>9</v>
      </c>
      <c r="H27" t="s">
        <v>11</v>
      </c>
      <c r="I27" t="s">
        <v>11</v>
      </c>
      <c r="J27" t="s">
        <v>11</v>
      </c>
      <c r="K27" t="s">
        <v>11</v>
      </c>
    </row>
    <row r="28" spans="1:11" x14ac:dyDescent="0.25">
      <c r="A28" t="s">
        <v>13</v>
      </c>
      <c r="B28" t="s">
        <v>14</v>
      </c>
      <c r="C28">
        <v>5</v>
      </c>
      <c r="D28">
        <v>4</v>
      </c>
      <c r="E28">
        <v>240000</v>
      </c>
      <c r="F28" t="s">
        <v>12</v>
      </c>
      <c r="G28" t="s">
        <v>9</v>
      </c>
      <c r="H28" t="s">
        <v>12</v>
      </c>
      <c r="I28" t="s">
        <v>12</v>
      </c>
      <c r="J28" t="s">
        <v>11</v>
      </c>
      <c r="K28" t="s">
        <v>11</v>
      </c>
    </row>
    <row r="29" spans="1:11" x14ac:dyDescent="0.25">
      <c r="A29" t="s">
        <v>13</v>
      </c>
      <c r="B29" t="s">
        <v>7</v>
      </c>
      <c r="C29">
        <v>2</v>
      </c>
      <c r="D29">
        <v>2</v>
      </c>
      <c r="E29">
        <v>90000</v>
      </c>
      <c r="F29" t="s">
        <v>12</v>
      </c>
      <c r="G29" t="s">
        <v>9</v>
      </c>
      <c r="H29" t="s">
        <v>11</v>
      </c>
      <c r="I29" t="s">
        <v>11</v>
      </c>
      <c r="J29" t="s">
        <v>11</v>
      </c>
      <c r="K29" t="s">
        <v>11</v>
      </c>
    </row>
    <row r="30" spans="1:11" x14ac:dyDescent="0.25">
      <c r="A30" t="s">
        <v>13</v>
      </c>
      <c r="B30" t="s">
        <v>7</v>
      </c>
      <c r="C30">
        <v>2</v>
      </c>
      <c r="D30">
        <v>1</v>
      </c>
      <c r="E30">
        <v>130000</v>
      </c>
      <c r="F30" t="s">
        <v>9</v>
      </c>
      <c r="G30" t="s">
        <v>9</v>
      </c>
      <c r="H30" t="s">
        <v>11</v>
      </c>
      <c r="I30" t="s">
        <v>11</v>
      </c>
      <c r="J30" t="s">
        <v>11</v>
      </c>
      <c r="K30" t="s">
        <v>11</v>
      </c>
    </row>
    <row r="31" spans="1:11" x14ac:dyDescent="0.25">
      <c r="A31" t="s">
        <v>13</v>
      </c>
      <c r="B31" t="s">
        <v>7</v>
      </c>
      <c r="C31">
        <v>3</v>
      </c>
      <c r="D31">
        <v>2</v>
      </c>
      <c r="E31">
        <v>130000</v>
      </c>
      <c r="F31" t="s">
        <v>9</v>
      </c>
      <c r="G31" t="s">
        <v>9</v>
      </c>
      <c r="H31" t="s">
        <v>11</v>
      </c>
      <c r="I31" t="s">
        <v>12</v>
      </c>
      <c r="J31" t="s">
        <v>11</v>
      </c>
      <c r="K31" t="s">
        <v>11</v>
      </c>
    </row>
    <row r="32" spans="1:11" x14ac:dyDescent="0.25">
      <c r="A32" t="s">
        <v>13</v>
      </c>
      <c r="B32" t="s">
        <v>7</v>
      </c>
      <c r="C32">
        <v>2</v>
      </c>
      <c r="D32">
        <v>2</v>
      </c>
      <c r="E32">
        <v>100000</v>
      </c>
      <c r="F32" t="s">
        <v>9</v>
      </c>
      <c r="G32" t="s">
        <v>9</v>
      </c>
      <c r="H32" t="s">
        <v>12</v>
      </c>
      <c r="I32" t="s">
        <v>12</v>
      </c>
      <c r="J32" t="s">
        <v>11</v>
      </c>
      <c r="K32" t="s">
        <v>11</v>
      </c>
    </row>
    <row r="33" spans="1:11" x14ac:dyDescent="0.25">
      <c r="A33" t="s">
        <v>13</v>
      </c>
      <c r="B33" t="s">
        <v>7</v>
      </c>
      <c r="C33">
        <v>3</v>
      </c>
      <c r="D33">
        <v>3</v>
      </c>
      <c r="E33">
        <v>75000</v>
      </c>
      <c r="F33" t="s">
        <v>10</v>
      </c>
      <c r="G33" t="s">
        <v>9</v>
      </c>
      <c r="H33" t="s">
        <v>12</v>
      </c>
      <c r="I33" t="s">
        <v>12</v>
      </c>
      <c r="J33" t="s">
        <v>11</v>
      </c>
      <c r="K33" t="s">
        <v>11</v>
      </c>
    </row>
    <row r="34" spans="1:11" x14ac:dyDescent="0.25">
      <c r="A34" t="s">
        <v>13</v>
      </c>
      <c r="B34" t="s">
        <v>7</v>
      </c>
      <c r="C34">
        <v>3</v>
      </c>
      <c r="D34">
        <v>2</v>
      </c>
      <c r="E34">
        <v>175000</v>
      </c>
      <c r="F34" t="s">
        <v>9</v>
      </c>
      <c r="G34" t="s">
        <v>9</v>
      </c>
      <c r="H34" t="s">
        <v>12</v>
      </c>
      <c r="I34" t="s">
        <v>12</v>
      </c>
      <c r="J34" t="s">
        <v>11</v>
      </c>
      <c r="K34" t="s">
        <v>11</v>
      </c>
    </row>
    <row r="35" spans="1:11" x14ac:dyDescent="0.25">
      <c r="A35" t="s">
        <v>13</v>
      </c>
      <c r="B35" t="s">
        <v>7</v>
      </c>
      <c r="C35">
        <v>2</v>
      </c>
      <c r="D35">
        <v>2</v>
      </c>
      <c r="E35">
        <v>150000</v>
      </c>
      <c r="F35" t="s">
        <v>11</v>
      </c>
      <c r="G35" t="s">
        <v>9</v>
      </c>
      <c r="H35" t="s">
        <v>12</v>
      </c>
      <c r="I35" t="s">
        <v>12</v>
      </c>
      <c r="J35" t="s">
        <v>11</v>
      </c>
      <c r="K35" t="s">
        <v>11</v>
      </c>
    </row>
    <row r="36" spans="1:11" x14ac:dyDescent="0.25">
      <c r="A36" t="s">
        <v>13</v>
      </c>
      <c r="B36" t="s">
        <v>15</v>
      </c>
      <c r="C36">
        <v>4</v>
      </c>
      <c r="D36">
        <v>3</v>
      </c>
      <c r="E36">
        <v>130000</v>
      </c>
      <c r="F36" t="s">
        <v>12</v>
      </c>
      <c r="G36" t="s">
        <v>9</v>
      </c>
      <c r="H36" t="s">
        <v>12</v>
      </c>
      <c r="I36" t="s">
        <v>12</v>
      </c>
      <c r="J36" t="s">
        <v>11</v>
      </c>
      <c r="K36" t="s">
        <v>11</v>
      </c>
    </row>
    <row r="37" spans="1:11" x14ac:dyDescent="0.25">
      <c r="A37" t="s">
        <v>13</v>
      </c>
      <c r="B37" t="s">
        <v>7</v>
      </c>
      <c r="C37">
        <v>1</v>
      </c>
      <c r="D37">
        <v>1</v>
      </c>
      <c r="E37">
        <v>75000</v>
      </c>
      <c r="F37" t="s">
        <v>12</v>
      </c>
      <c r="G37" t="s">
        <v>9</v>
      </c>
      <c r="H37" t="s">
        <v>11</v>
      </c>
      <c r="I37" t="s">
        <v>11</v>
      </c>
      <c r="J37" t="s">
        <v>11</v>
      </c>
      <c r="K37" t="s">
        <v>11</v>
      </c>
    </row>
    <row r="38" spans="1:11" x14ac:dyDescent="0.25">
      <c r="A38" t="s">
        <v>13</v>
      </c>
      <c r="B38" t="s">
        <v>7</v>
      </c>
      <c r="C38">
        <v>4</v>
      </c>
      <c r="D38">
        <v>4</v>
      </c>
      <c r="E38">
        <v>165000</v>
      </c>
      <c r="F38" t="s">
        <v>12</v>
      </c>
      <c r="G38" t="s">
        <v>9</v>
      </c>
      <c r="H38" t="s">
        <v>11</v>
      </c>
      <c r="I38" t="s">
        <v>11</v>
      </c>
      <c r="J38" t="s">
        <v>11</v>
      </c>
      <c r="K38" t="s">
        <v>11</v>
      </c>
    </row>
    <row r="39" spans="1:11" x14ac:dyDescent="0.25">
      <c r="A39" t="s">
        <v>13</v>
      </c>
      <c r="B39" t="s">
        <v>7</v>
      </c>
      <c r="C39">
        <v>1</v>
      </c>
      <c r="D39">
        <v>1</v>
      </c>
      <c r="E39">
        <v>160000</v>
      </c>
      <c r="F39" t="s">
        <v>11</v>
      </c>
      <c r="G39" t="s">
        <v>9</v>
      </c>
      <c r="H39" t="s">
        <v>11</v>
      </c>
      <c r="I39" t="s">
        <v>11</v>
      </c>
      <c r="J39" t="s">
        <v>11</v>
      </c>
      <c r="K39" t="s">
        <v>11</v>
      </c>
    </row>
    <row r="40" spans="1:11" x14ac:dyDescent="0.25">
      <c r="A40" t="s">
        <v>13</v>
      </c>
      <c r="B40" t="s">
        <v>7</v>
      </c>
      <c r="C40">
        <v>2</v>
      </c>
      <c r="D40">
        <v>3</v>
      </c>
      <c r="E40">
        <v>90000</v>
      </c>
      <c r="F40" t="s">
        <v>12</v>
      </c>
      <c r="G40" t="s">
        <v>9</v>
      </c>
      <c r="H40" t="s">
        <v>11</v>
      </c>
      <c r="I40" t="s">
        <v>11</v>
      </c>
      <c r="J40" t="s">
        <v>11</v>
      </c>
      <c r="K40" t="s">
        <v>11</v>
      </c>
    </row>
    <row r="41" spans="1:11" x14ac:dyDescent="0.25">
      <c r="A41" t="s">
        <v>13</v>
      </c>
      <c r="B41" t="s">
        <v>7</v>
      </c>
      <c r="C41">
        <v>3</v>
      </c>
      <c r="D41">
        <v>4</v>
      </c>
      <c r="E41">
        <v>140000</v>
      </c>
      <c r="F41" t="s">
        <v>10</v>
      </c>
      <c r="G41" t="s">
        <v>9</v>
      </c>
      <c r="H41" t="s">
        <v>11</v>
      </c>
      <c r="I41" t="s">
        <v>11</v>
      </c>
      <c r="J41" t="s">
        <v>11</v>
      </c>
      <c r="K41" t="s">
        <v>11</v>
      </c>
    </row>
    <row r="42" spans="1:11" x14ac:dyDescent="0.25">
      <c r="A42" t="s">
        <v>13</v>
      </c>
      <c r="B42" t="s">
        <v>7</v>
      </c>
      <c r="C42">
        <v>1</v>
      </c>
      <c r="D42">
        <v>1</v>
      </c>
      <c r="E42">
        <v>60000</v>
      </c>
      <c r="F42" t="s">
        <v>12</v>
      </c>
      <c r="G42" t="s">
        <v>9</v>
      </c>
      <c r="H42" t="s">
        <v>11</v>
      </c>
      <c r="I42" t="s">
        <v>12</v>
      </c>
      <c r="J42" t="s">
        <v>11</v>
      </c>
      <c r="K42" t="s">
        <v>11</v>
      </c>
    </row>
    <row r="43" spans="1:11" x14ac:dyDescent="0.25">
      <c r="A43" t="s">
        <v>13</v>
      </c>
      <c r="B43" t="s">
        <v>7</v>
      </c>
      <c r="C43">
        <v>1</v>
      </c>
      <c r="D43">
        <v>2</v>
      </c>
      <c r="E43">
        <v>150000</v>
      </c>
      <c r="F43" t="s">
        <v>9</v>
      </c>
      <c r="G43" t="s">
        <v>9</v>
      </c>
      <c r="H43" t="s">
        <v>11</v>
      </c>
      <c r="I43" t="s">
        <v>11</v>
      </c>
      <c r="J43" t="s">
        <v>11</v>
      </c>
      <c r="K43" t="s">
        <v>11</v>
      </c>
    </row>
    <row r="44" spans="1:11" x14ac:dyDescent="0.25">
      <c r="A44" t="s">
        <v>13</v>
      </c>
      <c r="B44" t="s">
        <v>7</v>
      </c>
      <c r="C44">
        <v>1</v>
      </c>
      <c r="D44">
        <v>2</v>
      </c>
      <c r="E44">
        <v>130000</v>
      </c>
      <c r="F44" t="s">
        <v>11</v>
      </c>
      <c r="G44" t="s">
        <v>9</v>
      </c>
      <c r="H44" t="s">
        <v>11</v>
      </c>
      <c r="I44" t="s">
        <v>11</v>
      </c>
      <c r="J44" t="s">
        <v>11</v>
      </c>
      <c r="K44" t="s">
        <v>11</v>
      </c>
    </row>
    <row r="45" spans="1:11" x14ac:dyDescent="0.25">
      <c r="A45" t="s">
        <v>13</v>
      </c>
      <c r="B45" t="s">
        <v>7</v>
      </c>
      <c r="C45">
        <v>1</v>
      </c>
      <c r="D45">
        <v>2</v>
      </c>
      <c r="E45">
        <v>120000</v>
      </c>
      <c r="F45" t="s">
        <v>9</v>
      </c>
      <c r="G45" t="s">
        <v>9</v>
      </c>
      <c r="H45" t="s">
        <v>11</v>
      </c>
      <c r="I45" t="s">
        <v>11</v>
      </c>
      <c r="J45" t="s">
        <v>11</v>
      </c>
      <c r="K45" t="s">
        <v>11</v>
      </c>
    </row>
    <row r="46" spans="1:11" x14ac:dyDescent="0.25">
      <c r="A46" t="s">
        <v>13</v>
      </c>
      <c r="B46" t="s">
        <v>7</v>
      </c>
      <c r="C46">
        <v>4</v>
      </c>
      <c r="D46">
        <v>4</v>
      </c>
      <c r="E46">
        <v>160000</v>
      </c>
      <c r="F46" t="s">
        <v>12</v>
      </c>
      <c r="G46" t="s">
        <v>9</v>
      </c>
      <c r="H46" t="s">
        <v>11</v>
      </c>
      <c r="I46" t="s">
        <v>11</v>
      </c>
      <c r="J46" t="s">
        <v>11</v>
      </c>
      <c r="K46" t="s">
        <v>11</v>
      </c>
    </row>
    <row r="47" spans="1:11" x14ac:dyDescent="0.25">
      <c r="A47" t="s">
        <v>13</v>
      </c>
      <c r="B47" t="s">
        <v>7</v>
      </c>
      <c r="C47">
        <v>2</v>
      </c>
      <c r="D47">
        <v>2</v>
      </c>
      <c r="E47">
        <v>120000</v>
      </c>
      <c r="F47" t="s">
        <v>9</v>
      </c>
      <c r="G47" t="s">
        <v>9</v>
      </c>
      <c r="H47" t="s">
        <v>11</v>
      </c>
      <c r="I47" t="s">
        <v>11</v>
      </c>
      <c r="J47" t="s">
        <v>11</v>
      </c>
      <c r="K47" t="s">
        <v>11</v>
      </c>
    </row>
    <row r="48" spans="1:11" x14ac:dyDescent="0.25">
      <c r="A48" t="s">
        <v>13</v>
      </c>
      <c r="B48" t="s">
        <v>7</v>
      </c>
      <c r="C48">
        <v>4</v>
      </c>
      <c r="D48">
        <v>4</v>
      </c>
      <c r="E48">
        <v>180000</v>
      </c>
      <c r="F48" t="s">
        <v>10</v>
      </c>
      <c r="G48" t="s">
        <v>9</v>
      </c>
      <c r="H48" t="s">
        <v>11</v>
      </c>
      <c r="I48" t="s">
        <v>12</v>
      </c>
      <c r="J48" t="s">
        <v>11</v>
      </c>
      <c r="K48" t="s">
        <v>11</v>
      </c>
    </row>
    <row r="49" spans="1:11" x14ac:dyDescent="0.25">
      <c r="A49" t="s">
        <v>13</v>
      </c>
      <c r="B49" t="s">
        <v>7</v>
      </c>
      <c r="C49">
        <v>2</v>
      </c>
      <c r="D49">
        <v>3</v>
      </c>
      <c r="E49">
        <v>120000</v>
      </c>
      <c r="F49" t="s">
        <v>10</v>
      </c>
      <c r="G49" t="s">
        <v>9</v>
      </c>
      <c r="H49" t="s">
        <v>11</v>
      </c>
      <c r="I49" t="s">
        <v>11</v>
      </c>
      <c r="J49" t="s">
        <v>11</v>
      </c>
      <c r="K49" t="s">
        <v>11</v>
      </c>
    </row>
    <row r="50" spans="1:11" x14ac:dyDescent="0.25">
      <c r="A50" t="s">
        <v>13</v>
      </c>
      <c r="B50" t="s">
        <v>7</v>
      </c>
      <c r="C50">
        <v>1</v>
      </c>
      <c r="D50">
        <v>1</v>
      </c>
      <c r="E50">
        <v>90000</v>
      </c>
      <c r="F50" t="s">
        <v>9</v>
      </c>
      <c r="G50" t="s">
        <v>9</v>
      </c>
      <c r="H50" t="s">
        <v>11</v>
      </c>
      <c r="I50" t="s">
        <v>12</v>
      </c>
      <c r="J50" t="s">
        <v>11</v>
      </c>
      <c r="K50" t="s">
        <v>11</v>
      </c>
    </row>
    <row r="51" spans="1:11" x14ac:dyDescent="0.25">
      <c r="A51" t="s">
        <v>13</v>
      </c>
      <c r="B51" t="s">
        <v>7</v>
      </c>
      <c r="C51">
        <v>3</v>
      </c>
      <c r="D51">
        <v>3</v>
      </c>
      <c r="E51">
        <v>150000</v>
      </c>
      <c r="F51" t="s">
        <v>10</v>
      </c>
      <c r="G51" t="s">
        <v>9</v>
      </c>
      <c r="H51" t="s">
        <v>11</v>
      </c>
      <c r="I51" t="s">
        <v>12</v>
      </c>
      <c r="J51" t="s">
        <v>11</v>
      </c>
      <c r="K51" t="s">
        <v>11</v>
      </c>
    </row>
    <row r="52" spans="1:11" x14ac:dyDescent="0.25">
      <c r="A52" t="s">
        <v>16</v>
      </c>
      <c r="B52" t="s">
        <v>7</v>
      </c>
      <c r="C52">
        <v>2</v>
      </c>
      <c r="D52">
        <v>2</v>
      </c>
      <c r="E52">
        <v>200000</v>
      </c>
      <c r="F52" t="s">
        <v>11</v>
      </c>
      <c r="G52" t="s">
        <v>9</v>
      </c>
      <c r="H52" t="s">
        <v>11</v>
      </c>
      <c r="I52" t="s">
        <v>11</v>
      </c>
      <c r="J52" t="s">
        <v>11</v>
      </c>
      <c r="K52" t="s">
        <v>11</v>
      </c>
    </row>
    <row r="53" spans="1:11" x14ac:dyDescent="0.25">
      <c r="A53" t="s">
        <v>16</v>
      </c>
      <c r="B53" t="s">
        <v>7</v>
      </c>
      <c r="C53">
        <v>2</v>
      </c>
      <c r="D53">
        <v>2</v>
      </c>
      <c r="E53">
        <v>85000</v>
      </c>
      <c r="F53" t="s">
        <v>9</v>
      </c>
      <c r="G53" t="s">
        <v>9</v>
      </c>
      <c r="H53" t="s">
        <v>11</v>
      </c>
      <c r="I53" t="s">
        <v>11</v>
      </c>
      <c r="J53" t="s">
        <v>11</v>
      </c>
      <c r="K53" t="s">
        <v>11</v>
      </c>
    </row>
    <row r="54" spans="1:11" x14ac:dyDescent="0.25">
      <c r="A54" t="s">
        <v>16</v>
      </c>
      <c r="B54" t="s">
        <v>14</v>
      </c>
      <c r="C54">
        <v>5</v>
      </c>
      <c r="D54">
        <v>5</v>
      </c>
      <c r="E54">
        <v>300000</v>
      </c>
      <c r="F54" t="s">
        <v>9</v>
      </c>
      <c r="G54" t="s">
        <v>9</v>
      </c>
      <c r="H54" t="s">
        <v>12</v>
      </c>
      <c r="I54" t="s">
        <v>12</v>
      </c>
      <c r="J54" t="s">
        <v>11</v>
      </c>
      <c r="K54" t="s">
        <v>11</v>
      </c>
    </row>
    <row r="55" spans="1:11" x14ac:dyDescent="0.25">
      <c r="A55" t="s">
        <v>16</v>
      </c>
      <c r="B55" t="s">
        <v>7</v>
      </c>
      <c r="C55">
        <v>1</v>
      </c>
      <c r="D55">
        <v>1</v>
      </c>
      <c r="E55">
        <v>60000</v>
      </c>
      <c r="F55" t="s">
        <v>10</v>
      </c>
      <c r="G55" t="s">
        <v>9</v>
      </c>
      <c r="H55" t="s">
        <v>11</v>
      </c>
      <c r="I55" t="s">
        <v>12</v>
      </c>
      <c r="J55" t="s">
        <v>11</v>
      </c>
      <c r="K55" t="s">
        <v>11</v>
      </c>
    </row>
    <row r="56" spans="1:11" x14ac:dyDescent="0.25">
      <c r="A56" t="s">
        <v>16</v>
      </c>
      <c r="B56" t="s">
        <v>7</v>
      </c>
      <c r="C56">
        <v>3</v>
      </c>
      <c r="D56">
        <v>3</v>
      </c>
      <c r="E56">
        <v>110000</v>
      </c>
      <c r="F56" t="s">
        <v>10</v>
      </c>
      <c r="G56" t="s">
        <v>9</v>
      </c>
      <c r="H56" t="s">
        <v>11</v>
      </c>
      <c r="I56" t="s">
        <v>12</v>
      </c>
      <c r="J56" t="s">
        <v>11</v>
      </c>
      <c r="K56" t="s">
        <v>11</v>
      </c>
    </row>
    <row r="57" spans="1:11" x14ac:dyDescent="0.25">
      <c r="A57" t="s">
        <v>16</v>
      </c>
      <c r="B57" t="s">
        <v>7</v>
      </c>
      <c r="C57">
        <v>1</v>
      </c>
      <c r="D57">
        <v>1</v>
      </c>
      <c r="E57">
        <v>65000</v>
      </c>
      <c r="F57" t="s">
        <v>10</v>
      </c>
      <c r="G57" t="s">
        <v>9</v>
      </c>
      <c r="H57" t="s">
        <v>11</v>
      </c>
      <c r="I57" t="s">
        <v>12</v>
      </c>
      <c r="J57" t="s">
        <v>11</v>
      </c>
      <c r="K57" t="s">
        <v>11</v>
      </c>
    </row>
    <row r="58" spans="1:11" x14ac:dyDescent="0.25">
      <c r="A58" t="s">
        <v>16</v>
      </c>
      <c r="B58" t="s">
        <v>7</v>
      </c>
      <c r="C58">
        <v>1</v>
      </c>
      <c r="D58">
        <v>1</v>
      </c>
      <c r="E58">
        <v>85000</v>
      </c>
      <c r="F58" t="s">
        <v>9</v>
      </c>
      <c r="G58" t="s">
        <v>9</v>
      </c>
      <c r="H58" t="s">
        <v>11</v>
      </c>
      <c r="I58" t="s">
        <v>12</v>
      </c>
      <c r="J58" t="s">
        <v>11</v>
      </c>
      <c r="K58" t="s">
        <v>11</v>
      </c>
    </row>
    <row r="59" spans="1:11" x14ac:dyDescent="0.25">
      <c r="A59" t="s">
        <v>16</v>
      </c>
      <c r="B59" t="s">
        <v>7</v>
      </c>
      <c r="C59">
        <v>1</v>
      </c>
      <c r="D59">
        <v>1</v>
      </c>
      <c r="E59">
        <v>85000</v>
      </c>
      <c r="F59" t="s">
        <v>9</v>
      </c>
      <c r="G59" t="s">
        <v>9</v>
      </c>
      <c r="H59" t="s">
        <v>11</v>
      </c>
      <c r="I59" t="s">
        <v>12</v>
      </c>
      <c r="J59" t="s">
        <v>11</v>
      </c>
      <c r="K59" t="s">
        <v>11</v>
      </c>
    </row>
    <row r="60" spans="1:11" x14ac:dyDescent="0.25">
      <c r="A60" t="s">
        <v>16</v>
      </c>
      <c r="B60" t="s">
        <v>7</v>
      </c>
      <c r="C60">
        <v>2</v>
      </c>
      <c r="D60">
        <v>1</v>
      </c>
      <c r="E60">
        <v>110000</v>
      </c>
      <c r="F60" t="s">
        <v>9</v>
      </c>
      <c r="G60" t="s">
        <v>9</v>
      </c>
      <c r="H60" t="s">
        <v>11</v>
      </c>
      <c r="I60" t="s">
        <v>12</v>
      </c>
      <c r="J60" t="s">
        <v>11</v>
      </c>
      <c r="K60" t="s">
        <v>11</v>
      </c>
    </row>
    <row r="61" spans="1:11" x14ac:dyDescent="0.25">
      <c r="A61" t="s">
        <v>16</v>
      </c>
      <c r="B61" t="s">
        <v>7</v>
      </c>
      <c r="C61">
        <v>3</v>
      </c>
      <c r="D61">
        <v>4</v>
      </c>
      <c r="E61">
        <v>160000</v>
      </c>
      <c r="F61" t="s">
        <v>12</v>
      </c>
      <c r="G61" t="s">
        <v>9</v>
      </c>
      <c r="H61" t="s">
        <v>11</v>
      </c>
      <c r="I61" t="s">
        <v>12</v>
      </c>
      <c r="J61" t="s">
        <v>11</v>
      </c>
      <c r="K61" t="s">
        <v>11</v>
      </c>
    </row>
    <row r="62" spans="1:11" x14ac:dyDescent="0.25">
      <c r="A62" t="s">
        <v>16</v>
      </c>
      <c r="B62" t="s">
        <v>7</v>
      </c>
      <c r="C62">
        <v>3</v>
      </c>
      <c r="D62">
        <v>3</v>
      </c>
      <c r="E62">
        <v>520000</v>
      </c>
      <c r="F62" t="s">
        <v>9</v>
      </c>
      <c r="G62" t="s">
        <v>9</v>
      </c>
      <c r="H62" t="s">
        <v>11</v>
      </c>
      <c r="I62" t="s">
        <v>11</v>
      </c>
      <c r="J62" t="s">
        <v>11</v>
      </c>
      <c r="K62" t="s">
        <v>11</v>
      </c>
    </row>
    <row r="63" spans="1:11" x14ac:dyDescent="0.25">
      <c r="A63" t="s">
        <v>16</v>
      </c>
      <c r="B63" t="s">
        <v>7</v>
      </c>
      <c r="C63">
        <v>2</v>
      </c>
      <c r="D63">
        <v>3</v>
      </c>
      <c r="E63">
        <v>75000</v>
      </c>
      <c r="F63" t="s">
        <v>10</v>
      </c>
      <c r="G63" t="s">
        <v>9</v>
      </c>
      <c r="H63" t="s">
        <v>11</v>
      </c>
      <c r="I63" t="s">
        <v>11</v>
      </c>
      <c r="J63" t="s">
        <v>11</v>
      </c>
      <c r="K63" t="s">
        <v>11</v>
      </c>
    </row>
    <row r="64" spans="1:11" x14ac:dyDescent="0.25">
      <c r="A64" t="s">
        <v>16</v>
      </c>
      <c r="B64" t="s">
        <v>7</v>
      </c>
      <c r="C64">
        <v>3</v>
      </c>
      <c r="D64">
        <v>3</v>
      </c>
      <c r="E64">
        <v>85000</v>
      </c>
      <c r="F64" t="s">
        <v>10</v>
      </c>
      <c r="G64" t="s">
        <v>9</v>
      </c>
      <c r="H64" t="s">
        <v>11</v>
      </c>
      <c r="I64" t="s">
        <v>11</v>
      </c>
      <c r="J64" t="s">
        <v>11</v>
      </c>
      <c r="K64" t="s">
        <v>11</v>
      </c>
    </row>
    <row r="65" spans="1:11" x14ac:dyDescent="0.25">
      <c r="A65" t="s">
        <v>16</v>
      </c>
      <c r="B65" t="s">
        <v>7</v>
      </c>
      <c r="C65">
        <v>2</v>
      </c>
      <c r="D65">
        <v>2</v>
      </c>
      <c r="E65">
        <v>80000</v>
      </c>
      <c r="F65" t="s">
        <v>9</v>
      </c>
      <c r="G65" t="s">
        <v>9</v>
      </c>
      <c r="H65" t="s">
        <v>11</v>
      </c>
      <c r="I65" t="s">
        <v>11</v>
      </c>
      <c r="J65" t="s">
        <v>11</v>
      </c>
      <c r="K65" t="s">
        <v>11</v>
      </c>
    </row>
    <row r="66" spans="1:11" x14ac:dyDescent="0.25">
      <c r="A66" t="s">
        <v>16</v>
      </c>
      <c r="B66" t="s">
        <v>7</v>
      </c>
      <c r="C66">
        <v>1</v>
      </c>
      <c r="D66">
        <v>1</v>
      </c>
      <c r="E66">
        <v>60000</v>
      </c>
      <c r="F66" t="s">
        <v>10</v>
      </c>
      <c r="G66" t="s">
        <v>9</v>
      </c>
      <c r="H66" t="s">
        <v>11</v>
      </c>
      <c r="I66" t="s">
        <v>11</v>
      </c>
      <c r="J66" t="s">
        <v>11</v>
      </c>
      <c r="K66" t="s">
        <v>11</v>
      </c>
    </row>
    <row r="67" spans="1:11" x14ac:dyDescent="0.25">
      <c r="A67" t="s">
        <v>16</v>
      </c>
      <c r="B67" t="s">
        <v>7</v>
      </c>
      <c r="C67">
        <v>2</v>
      </c>
      <c r="D67">
        <v>2</v>
      </c>
      <c r="E67">
        <v>200000</v>
      </c>
      <c r="F67" t="s">
        <v>9</v>
      </c>
      <c r="G67" t="s">
        <v>9</v>
      </c>
      <c r="H67" t="s">
        <v>11</v>
      </c>
      <c r="I67" t="s">
        <v>11</v>
      </c>
      <c r="J67" t="s">
        <v>11</v>
      </c>
      <c r="K67" t="s">
        <v>11</v>
      </c>
    </row>
    <row r="68" spans="1:11" x14ac:dyDescent="0.25">
      <c r="A68" t="s">
        <v>16</v>
      </c>
      <c r="B68" t="s">
        <v>7</v>
      </c>
      <c r="C68">
        <v>2</v>
      </c>
      <c r="D68">
        <v>2</v>
      </c>
      <c r="E68">
        <v>200000</v>
      </c>
      <c r="F68" t="s">
        <v>10</v>
      </c>
      <c r="G68" t="s">
        <v>9</v>
      </c>
      <c r="H68" t="s">
        <v>12</v>
      </c>
      <c r="I68" t="s">
        <v>11</v>
      </c>
      <c r="J68" t="s">
        <v>11</v>
      </c>
      <c r="K68" t="s">
        <v>11</v>
      </c>
    </row>
    <row r="69" spans="1:11" x14ac:dyDescent="0.25">
      <c r="A69" t="s">
        <v>16</v>
      </c>
      <c r="B69" t="s">
        <v>7</v>
      </c>
      <c r="C69">
        <v>2</v>
      </c>
      <c r="D69">
        <v>2</v>
      </c>
      <c r="E69">
        <v>80000</v>
      </c>
      <c r="F69" t="s">
        <v>10</v>
      </c>
      <c r="G69" t="s">
        <v>9</v>
      </c>
      <c r="H69" t="s">
        <v>11</v>
      </c>
      <c r="I69" t="s">
        <v>11</v>
      </c>
      <c r="J69" t="s">
        <v>11</v>
      </c>
      <c r="K69" t="s">
        <v>11</v>
      </c>
    </row>
    <row r="70" spans="1:11" x14ac:dyDescent="0.25">
      <c r="A70" t="s">
        <v>16</v>
      </c>
      <c r="B70" t="s">
        <v>7</v>
      </c>
      <c r="C70">
        <v>5</v>
      </c>
      <c r="D70">
        <v>5</v>
      </c>
      <c r="E70">
        <v>400000</v>
      </c>
      <c r="F70" t="s">
        <v>10</v>
      </c>
      <c r="G70" t="s">
        <v>9</v>
      </c>
      <c r="H70" t="s">
        <v>12</v>
      </c>
      <c r="I70" t="s">
        <v>12</v>
      </c>
      <c r="J70" t="s">
        <v>11</v>
      </c>
      <c r="K70" t="s">
        <v>11</v>
      </c>
    </row>
    <row r="71" spans="1:11" x14ac:dyDescent="0.25">
      <c r="A71" t="s">
        <v>16</v>
      </c>
      <c r="B71" t="s">
        <v>15</v>
      </c>
      <c r="C71">
        <v>5</v>
      </c>
      <c r="D71">
        <v>6</v>
      </c>
      <c r="E71">
        <v>780000</v>
      </c>
      <c r="F71" t="s">
        <v>10</v>
      </c>
      <c r="G71" t="s">
        <v>9</v>
      </c>
      <c r="H71" t="s">
        <v>12</v>
      </c>
      <c r="I71" t="s">
        <v>11</v>
      </c>
      <c r="J71" t="s">
        <v>11</v>
      </c>
      <c r="K71" t="s">
        <v>11</v>
      </c>
    </row>
    <row r="72" spans="1:11" x14ac:dyDescent="0.25">
      <c r="A72" t="s">
        <v>16</v>
      </c>
      <c r="B72" t="s">
        <v>7</v>
      </c>
      <c r="C72">
        <v>1</v>
      </c>
      <c r="D72">
        <v>1</v>
      </c>
      <c r="E72">
        <v>68000</v>
      </c>
      <c r="F72" t="s">
        <v>10</v>
      </c>
      <c r="G72" t="s">
        <v>9</v>
      </c>
      <c r="H72" t="s">
        <v>11</v>
      </c>
      <c r="I72" t="s">
        <v>11</v>
      </c>
      <c r="J72" t="s">
        <v>11</v>
      </c>
      <c r="K72" t="s">
        <v>11</v>
      </c>
    </row>
    <row r="73" spans="1:11" x14ac:dyDescent="0.25">
      <c r="A73" t="s">
        <v>16</v>
      </c>
      <c r="B73" t="s">
        <v>7</v>
      </c>
      <c r="C73">
        <v>3</v>
      </c>
      <c r="D73">
        <v>3</v>
      </c>
      <c r="E73">
        <v>85000</v>
      </c>
      <c r="F73" t="s">
        <v>10</v>
      </c>
      <c r="G73" t="s">
        <v>9</v>
      </c>
      <c r="H73" t="s">
        <v>12</v>
      </c>
      <c r="I73" t="s">
        <v>12</v>
      </c>
      <c r="J73" t="s">
        <v>11</v>
      </c>
      <c r="K73" t="s">
        <v>11</v>
      </c>
    </row>
    <row r="74" spans="1:11" x14ac:dyDescent="0.25">
      <c r="A74" t="s">
        <v>16</v>
      </c>
      <c r="B74" t="s">
        <v>15</v>
      </c>
      <c r="C74">
        <v>6</v>
      </c>
      <c r="D74">
        <v>6</v>
      </c>
      <c r="E74">
        <v>712000</v>
      </c>
      <c r="F74" t="s">
        <v>9</v>
      </c>
      <c r="G74" t="s">
        <v>9</v>
      </c>
      <c r="H74" t="s">
        <v>12</v>
      </c>
      <c r="I74" t="s">
        <v>12</v>
      </c>
      <c r="J74" t="s">
        <v>11</v>
      </c>
      <c r="K74" t="s">
        <v>11</v>
      </c>
    </row>
    <row r="75" spans="1:11" x14ac:dyDescent="0.25">
      <c r="A75" t="s">
        <v>16</v>
      </c>
      <c r="B75" t="s">
        <v>14</v>
      </c>
      <c r="C75">
        <v>5</v>
      </c>
      <c r="D75">
        <v>5</v>
      </c>
      <c r="E75">
        <v>350000</v>
      </c>
      <c r="F75" t="s">
        <v>10</v>
      </c>
      <c r="G75" t="s">
        <v>9</v>
      </c>
      <c r="H75" t="s">
        <v>12</v>
      </c>
      <c r="I75" t="s">
        <v>12</v>
      </c>
      <c r="J75" t="s">
        <v>11</v>
      </c>
      <c r="K75" t="s">
        <v>11</v>
      </c>
    </row>
    <row r="76" spans="1:11" x14ac:dyDescent="0.25">
      <c r="A76" t="s">
        <v>16</v>
      </c>
      <c r="B76" t="s">
        <v>15</v>
      </c>
      <c r="C76">
        <v>5</v>
      </c>
      <c r="D76">
        <v>5</v>
      </c>
      <c r="E76">
        <v>440000</v>
      </c>
      <c r="F76" t="s">
        <v>10</v>
      </c>
      <c r="G76" t="s">
        <v>9</v>
      </c>
      <c r="H76" t="s">
        <v>12</v>
      </c>
      <c r="I76" t="s">
        <v>12</v>
      </c>
      <c r="J76" t="s">
        <v>11</v>
      </c>
      <c r="K76" t="s">
        <v>11</v>
      </c>
    </row>
    <row r="77" spans="1:11" x14ac:dyDescent="0.25">
      <c r="A77" t="s">
        <v>17</v>
      </c>
      <c r="B77" t="s">
        <v>15</v>
      </c>
      <c r="C77">
        <v>5</v>
      </c>
      <c r="D77">
        <v>4</v>
      </c>
      <c r="E77">
        <v>350000</v>
      </c>
      <c r="F77" t="s">
        <v>10</v>
      </c>
      <c r="G77" t="s">
        <v>9</v>
      </c>
      <c r="H77" t="s">
        <v>12</v>
      </c>
      <c r="I77" t="s">
        <v>12</v>
      </c>
      <c r="J77" t="s">
        <v>11</v>
      </c>
      <c r="K77" t="s">
        <v>11</v>
      </c>
    </row>
    <row r="78" spans="1:11" x14ac:dyDescent="0.25">
      <c r="A78" t="s">
        <v>17</v>
      </c>
      <c r="B78" t="s">
        <v>15</v>
      </c>
      <c r="C78">
        <v>4</v>
      </c>
      <c r="D78">
        <v>4</v>
      </c>
      <c r="E78">
        <v>360000</v>
      </c>
      <c r="F78" t="s">
        <v>10</v>
      </c>
      <c r="G78" t="s">
        <v>9</v>
      </c>
      <c r="H78" t="s">
        <v>12</v>
      </c>
      <c r="I78" t="s">
        <v>11</v>
      </c>
      <c r="J78" t="s">
        <v>11</v>
      </c>
      <c r="K78" t="s">
        <v>11</v>
      </c>
    </row>
    <row r="79" spans="1:11" x14ac:dyDescent="0.25">
      <c r="A79" t="s">
        <v>17</v>
      </c>
      <c r="B79" t="s">
        <v>15</v>
      </c>
      <c r="C79">
        <v>5</v>
      </c>
      <c r="D79">
        <v>6</v>
      </c>
      <c r="E79">
        <v>450000</v>
      </c>
      <c r="F79" t="s">
        <v>10</v>
      </c>
      <c r="G79" t="s">
        <v>9</v>
      </c>
      <c r="H79" t="s">
        <v>12</v>
      </c>
      <c r="I79" t="s">
        <v>12</v>
      </c>
      <c r="J79" t="s">
        <v>11</v>
      </c>
      <c r="K79" t="s">
        <v>11</v>
      </c>
    </row>
    <row r="80" spans="1:11" x14ac:dyDescent="0.25">
      <c r="A80" t="s">
        <v>17</v>
      </c>
      <c r="B80" t="s">
        <v>15</v>
      </c>
      <c r="C80">
        <v>3</v>
      </c>
      <c r="D80">
        <v>3</v>
      </c>
      <c r="E80">
        <v>350000</v>
      </c>
      <c r="F80" t="s">
        <v>10</v>
      </c>
      <c r="G80" t="s">
        <v>9</v>
      </c>
      <c r="H80" t="s">
        <v>12</v>
      </c>
      <c r="I80" t="s">
        <v>12</v>
      </c>
      <c r="J80" t="s">
        <v>11</v>
      </c>
      <c r="K80" t="s">
        <v>11</v>
      </c>
    </row>
    <row r="81" spans="1:11" x14ac:dyDescent="0.25">
      <c r="A81" t="s">
        <v>17</v>
      </c>
      <c r="B81" t="s">
        <v>14</v>
      </c>
      <c r="C81">
        <v>2</v>
      </c>
      <c r="D81">
        <v>2</v>
      </c>
      <c r="E81">
        <v>65000</v>
      </c>
      <c r="F81" t="s">
        <v>10</v>
      </c>
      <c r="G81" t="s">
        <v>9</v>
      </c>
      <c r="H81" t="s">
        <v>12</v>
      </c>
      <c r="I81" t="s">
        <v>12</v>
      </c>
      <c r="J81" t="s">
        <v>11</v>
      </c>
      <c r="K81" t="s">
        <v>11</v>
      </c>
    </row>
    <row r="82" spans="1:11" x14ac:dyDescent="0.25">
      <c r="A82" t="s">
        <v>17</v>
      </c>
      <c r="B82" t="s">
        <v>15</v>
      </c>
      <c r="C82">
        <v>4</v>
      </c>
      <c r="D82">
        <v>4</v>
      </c>
      <c r="E82">
        <v>500000</v>
      </c>
      <c r="F82" t="s">
        <v>10</v>
      </c>
      <c r="G82" t="s">
        <v>9</v>
      </c>
      <c r="H82" t="s">
        <v>12</v>
      </c>
      <c r="I82" t="s">
        <v>12</v>
      </c>
      <c r="J82" t="s">
        <v>11</v>
      </c>
      <c r="K82" t="s">
        <v>11</v>
      </c>
    </row>
    <row r="83" spans="1:11" x14ac:dyDescent="0.25">
      <c r="A83" t="s">
        <v>17</v>
      </c>
      <c r="B83" t="s">
        <v>15</v>
      </c>
      <c r="C83">
        <v>2</v>
      </c>
      <c r="D83">
        <v>1</v>
      </c>
      <c r="E83">
        <v>100000</v>
      </c>
      <c r="F83" t="s">
        <v>10</v>
      </c>
      <c r="G83" t="s">
        <v>9</v>
      </c>
      <c r="H83" t="s">
        <v>12</v>
      </c>
      <c r="I83" t="s">
        <v>12</v>
      </c>
      <c r="J83" t="s">
        <v>11</v>
      </c>
      <c r="K83" t="s">
        <v>11</v>
      </c>
    </row>
    <row r="84" spans="1:11" x14ac:dyDescent="0.25">
      <c r="A84" t="s">
        <v>17</v>
      </c>
      <c r="B84" t="s">
        <v>15</v>
      </c>
      <c r="C84">
        <v>5</v>
      </c>
      <c r="D84">
        <v>5</v>
      </c>
      <c r="E84">
        <v>400000</v>
      </c>
      <c r="F84" t="s">
        <v>10</v>
      </c>
      <c r="G84" t="s">
        <v>9</v>
      </c>
      <c r="H84" t="s">
        <v>12</v>
      </c>
      <c r="I84" t="s">
        <v>12</v>
      </c>
      <c r="J84" t="s">
        <v>11</v>
      </c>
      <c r="K84" t="s">
        <v>11</v>
      </c>
    </row>
    <row r="85" spans="1:11" x14ac:dyDescent="0.25">
      <c r="A85" t="s">
        <v>17</v>
      </c>
      <c r="B85" t="s">
        <v>15</v>
      </c>
      <c r="C85">
        <v>3</v>
      </c>
      <c r="D85">
        <v>2</v>
      </c>
      <c r="E85">
        <v>130000</v>
      </c>
      <c r="F85" t="s">
        <v>10</v>
      </c>
      <c r="G85" t="s">
        <v>9</v>
      </c>
      <c r="H85" t="s">
        <v>12</v>
      </c>
      <c r="I85" t="s">
        <v>12</v>
      </c>
      <c r="J85" t="s">
        <v>11</v>
      </c>
      <c r="K85" t="s">
        <v>11</v>
      </c>
    </row>
    <row r="86" spans="1:11" x14ac:dyDescent="0.25">
      <c r="A86" t="s">
        <v>17</v>
      </c>
      <c r="B86" t="s">
        <v>15</v>
      </c>
      <c r="C86">
        <v>5</v>
      </c>
      <c r="D86">
        <v>5</v>
      </c>
      <c r="E86">
        <v>300000</v>
      </c>
      <c r="F86" t="s">
        <v>10</v>
      </c>
      <c r="G86" t="s">
        <v>9</v>
      </c>
      <c r="H86" t="s">
        <v>12</v>
      </c>
      <c r="I86" t="s">
        <v>12</v>
      </c>
      <c r="J86" t="s">
        <v>11</v>
      </c>
      <c r="K86" t="s">
        <v>11</v>
      </c>
    </row>
    <row r="87" spans="1:11" x14ac:dyDescent="0.25">
      <c r="A87" t="s">
        <v>17</v>
      </c>
      <c r="B87" t="s">
        <v>15</v>
      </c>
      <c r="C87">
        <v>2</v>
      </c>
      <c r="D87">
        <v>1</v>
      </c>
      <c r="E87">
        <v>75000</v>
      </c>
      <c r="F87" t="s">
        <v>10</v>
      </c>
      <c r="G87" t="s">
        <v>9</v>
      </c>
      <c r="H87" t="s">
        <v>12</v>
      </c>
      <c r="I87" t="s">
        <v>12</v>
      </c>
      <c r="J87" t="s">
        <v>11</v>
      </c>
      <c r="K87" t="s">
        <v>11</v>
      </c>
    </row>
    <row r="88" spans="1:11" x14ac:dyDescent="0.25">
      <c r="A88" t="s">
        <v>17</v>
      </c>
      <c r="B88" t="s">
        <v>15</v>
      </c>
      <c r="C88">
        <v>2</v>
      </c>
      <c r="D88">
        <v>1</v>
      </c>
      <c r="E88">
        <v>100000</v>
      </c>
      <c r="F88" t="s">
        <v>10</v>
      </c>
      <c r="G88" t="s">
        <v>9</v>
      </c>
      <c r="H88" t="s">
        <v>12</v>
      </c>
      <c r="I88" t="s">
        <v>12</v>
      </c>
      <c r="J88" t="s">
        <v>11</v>
      </c>
      <c r="K88" t="s">
        <v>11</v>
      </c>
    </row>
    <row r="89" spans="1:11" x14ac:dyDescent="0.25">
      <c r="A89" t="s">
        <v>17</v>
      </c>
      <c r="B89" t="s">
        <v>15</v>
      </c>
      <c r="C89">
        <v>4</v>
      </c>
      <c r="D89">
        <v>5</v>
      </c>
      <c r="E89">
        <v>430000</v>
      </c>
      <c r="F89" t="s">
        <v>10</v>
      </c>
      <c r="G89" t="s">
        <v>9</v>
      </c>
      <c r="H89" t="s">
        <v>12</v>
      </c>
      <c r="I89" t="s">
        <v>12</v>
      </c>
      <c r="J89" t="s">
        <v>11</v>
      </c>
      <c r="K89" t="s">
        <v>11</v>
      </c>
    </row>
    <row r="90" spans="1:11" x14ac:dyDescent="0.25">
      <c r="A90" t="s">
        <v>17</v>
      </c>
      <c r="B90" t="s">
        <v>7</v>
      </c>
      <c r="C90">
        <v>3</v>
      </c>
      <c r="D90">
        <v>2</v>
      </c>
      <c r="E90">
        <v>180000</v>
      </c>
      <c r="F90" t="s">
        <v>10</v>
      </c>
      <c r="G90" t="s">
        <v>9</v>
      </c>
      <c r="H90" t="s">
        <v>12</v>
      </c>
      <c r="I90" t="s">
        <v>12</v>
      </c>
      <c r="J90" t="s">
        <v>11</v>
      </c>
      <c r="K90" t="s">
        <v>11</v>
      </c>
    </row>
    <row r="91" spans="1:11" x14ac:dyDescent="0.25">
      <c r="A91" t="s">
        <v>17</v>
      </c>
      <c r="B91" t="s">
        <v>15</v>
      </c>
      <c r="C91">
        <v>5</v>
      </c>
      <c r="D91">
        <v>5</v>
      </c>
      <c r="E91">
        <v>697000</v>
      </c>
      <c r="F91" t="s">
        <v>9</v>
      </c>
      <c r="G91" t="s">
        <v>9</v>
      </c>
      <c r="H91" t="s">
        <v>11</v>
      </c>
      <c r="I91" t="s">
        <v>11</v>
      </c>
      <c r="J91" t="s">
        <v>11</v>
      </c>
      <c r="K91" t="s">
        <v>11</v>
      </c>
    </row>
    <row r="92" spans="1:11" x14ac:dyDescent="0.25">
      <c r="A92" t="s">
        <v>17</v>
      </c>
      <c r="B92" t="s">
        <v>15</v>
      </c>
      <c r="C92">
        <v>5</v>
      </c>
      <c r="D92">
        <v>5</v>
      </c>
      <c r="E92">
        <v>750000</v>
      </c>
      <c r="F92" t="s">
        <v>10</v>
      </c>
      <c r="G92" t="s">
        <v>9</v>
      </c>
      <c r="H92" t="s">
        <v>11</v>
      </c>
      <c r="I92" t="s">
        <v>11</v>
      </c>
      <c r="J92" t="s">
        <v>11</v>
      </c>
      <c r="K92" t="s">
        <v>11</v>
      </c>
    </row>
    <row r="93" spans="1:11" x14ac:dyDescent="0.25">
      <c r="A93" t="s">
        <v>17</v>
      </c>
      <c r="B93" t="s">
        <v>7</v>
      </c>
      <c r="C93">
        <v>3</v>
      </c>
      <c r="D93">
        <v>3</v>
      </c>
      <c r="E93">
        <v>120000</v>
      </c>
      <c r="F93" t="s">
        <v>10</v>
      </c>
      <c r="G93" t="s">
        <v>9</v>
      </c>
      <c r="H93" t="s">
        <v>11</v>
      </c>
      <c r="I93" t="s">
        <v>11</v>
      </c>
      <c r="J93" t="s">
        <v>11</v>
      </c>
      <c r="K93" t="s">
        <v>11</v>
      </c>
    </row>
    <row r="94" spans="1:11" x14ac:dyDescent="0.25">
      <c r="A94" t="s">
        <v>17</v>
      </c>
      <c r="B94" t="s">
        <v>14</v>
      </c>
      <c r="C94">
        <v>6</v>
      </c>
      <c r="D94">
        <v>6</v>
      </c>
      <c r="E94">
        <v>470000</v>
      </c>
      <c r="F94" t="s">
        <v>10</v>
      </c>
      <c r="G94" t="s">
        <v>9</v>
      </c>
      <c r="H94" t="s">
        <v>12</v>
      </c>
      <c r="I94" t="s">
        <v>12</v>
      </c>
      <c r="J94" t="s">
        <v>11</v>
      </c>
      <c r="K94" t="s">
        <v>11</v>
      </c>
    </row>
    <row r="95" spans="1:11" x14ac:dyDescent="0.25">
      <c r="A95" t="s">
        <v>17</v>
      </c>
      <c r="B95" t="s">
        <v>14</v>
      </c>
      <c r="C95">
        <v>4</v>
      </c>
      <c r="D95">
        <v>4</v>
      </c>
      <c r="E95">
        <v>350000</v>
      </c>
      <c r="F95" t="s">
        <v>10</v>
      </c>
      <c r="G95" t="s">
        <v>9</v>
      </c>
      <c r="H95" t="s">
        <v>12</v>
      </c>
      <c r="I95" t="s">
        <v>11</v>
      </c>
      <c r="J95" t="s">
        <v>11</v>
      </c>
      <c r="K95" t="s">
        <v>11</v>
      </c>
    </row>
    <row r="96" spans="1:11" x14ac:dyDescent="0.25">
      <c r="A96" t="s">
        <v>17</v>
      </c>
      <c r="B96" t="s">
        <v>14</v>
      </c>
      <c r="C96">
        <v>4</v>
      </c>
      <c r="D96">
        <v>5</v>
      </c>
      <c r="E96">
        <v>450000</v>
      </c>
      <c r="F96" t="s">
        <v>10</v>
      </c>
      <c r="G96" t="s">
        <v>9</v>
      </c>
      <c r="H96" t="s">
        <v>12</v>
      </c>
      <c r="I96" t="s">
        <v>12</v>
      </c>
      <c r="J96" t="s">
        <v>11</v>
      </c>
      <c r="K96" t="s">
        <v>11</v>
      </c>
    </row>
    <row r="97" spans="1:11" x14ac:dyDescent="0.25">
      <c r="A97" t="s">
        <v>17</v>
      </c>
      <c r="B97" t="s">
        <v>14</v>
      </c>
      <c r="C97">
        <v>4</v>
      </c>
      <c r="D97">
        <v>5</v>
      </c>
      <c r="E97">
        <v>460000</v>
      </c>
      <c r="F97" t="s">
        <v>10</v>
      </c>
      <c r="G97" t="s">
        <v>9</v>
      </c>
      <c r="H97" t="s">
        <v>11</v>
      </c>
      <c r="I97" t="s">
        <v>11</v>
      </c>
      <c r="J97" t="s">
        <v>11</v>
      </c>
      <c r="K97" t="s">
        <v>11</v>
      </c>
    </row>
    <row r="98" spans="1:11" x14ac:dyDescent="0.25">
      <c r="A98" t="s">
        <v>17</v>
      </c>
      <c r="B98" t="s">
        <v>15</v>
      </c>
      <c r="C98">
        <v>5</v>
      </c>
      <c r="D98">
        <v>5</v>
      </c>
      <c r="E98">
        <v>320000</v>
      </c>
      <c r="F98" t="s">
        <v>10</v>
      </c>
      <c r="G98" t="s">
        <v>9</v>
      </c>
      <c r="H98" t="s">
        <v>12</v>
      </c>
      <c r="I98" t="s">
        <v>12</v>
      </c>
      <c r="J98" t="s">
        <v>11</v>
      </c>
      <c r="K98" t="s">
        <v>11</v>
      </c>
    </row>
    <row r="99" spans="1:11" x14ac:dyDescent="0.25">
      <c r="A99" t="s">
        <v>17</v>
      </c>
      <c r="B99" t="s">
        <v>15</v>
      </c>
      <c r="C99">
        <v>2</v>
      </c>
      <c r="D99">
        <v>2</v>
      </c>
      <c r="E99">
        <v>100000</v>
      </c>
      <c r="F99" t="s">
        <v>10</v>
      </c>
      <c r="G99" t="s">
        <v>9</v>
      </c>
      <c r="H99" t="s">
        <v>12</v>
      </c>
      <c r="I99" t="s">
        <v>12</v>
      </c>
      <c r="J99" t="s">
        <v>11</v>
      </c>
      <c r="K99" t="s">
        <v>11</v>
      </c>
    </row>
    <row r="100" spans="1:11" x14ac:dyDescent="0.25">
      <c r="A100" t="s">
        <v>17</v>
      </c>
      <c r="B100" t="s">
        <v>15</v>
      </c>
      <c r="C100">
        <v>3</v>
      </c>
      <c r="D100">
        <v>3</v>
      </c>
      <c r="E100">
        <v>200000</v>
      </c>
      <c r="F100" t="s">
        <v>10</v>
      </c>
      <c r="G100" t="s">
        <v>9</v>
      </c>
      <c r="H100" t="s">
        <v>12</v>
      </c>
      <c r="I100" t="s">
        <v>12</v>
      </c>
      <c r="J100" t="s">
        <v>11</v>
      </c>
      <c r="K100" t="s">
        <v>11</v>
      </c>
    </row>
    <row r="101" spans="1:11" x14ac:dyDescent="0.25">
      <c r="A101" t="s">
        <v>17</v>
      </c>
      <c r="B101" t="s">
        <v>15</v>
      </c>
      <c r="C101">
        <v>5</v>
      </c>
      <c r="D101">
        <v>5</v>
      </c>
      <c r="E101">
        <v>300000</v>
      </c>
      <c r="F101" t="s">
        <v>10</v>
      </c>
      <c r="G101" t="s">
        <v>9</v>
      </c>
      <c r="H101" t="s">
        <v>12</v>
      </c>
      <c r="I101" t="s">
        <v>12</v>
      </c>
      <c r="J101" t="s">
        <v>11</v>
      </c>
      <c r="K101" t="s">
        <v>11</v>
      </c>
    </row>
    <row r="102" spans="1:11" x14ac:dyDescent="0.25">
      <c r="A102" t="s">
        <v>18</v>
      </c>
      <c r="B102" t="s">
        <v>15</v>
      </c>
      <c r="C102">
        <v>5</v>
      </c>
      <c r="D102">
        <v>6</v>
      </c>
      <c r="E102">
        <v>520000</v>
      </c>
      <c r="F102" t="s">
        <v>12</v>
      </c>
      <c r="G102" t="s">
        <v>9</v>
      </c>
      <c r="H102" t="s">
        <v>11</v>
      </c>
      <c r="I102" t="s">
        <v>12</v>
      </c>
      <c r="J102" t="s">
        <v>11</v>
      </c>
      <c r="K102" t="s">
        <v>11</v>
      </c>
    </row>
    <row r="103" spans="1:11" x14ac:dyDescent="0.25">
      <c r="A103" t="s">
        <v>18</v>
      </c>
      <c r="B103" t="s">
        <v>15</v>
      </c>
      <c r="C103">
        <v>5</v>
      </c>
      <c r="D103">
        <v>4</v>
      </c>
      <c r="E103">
        <v>828000</v>
      </c>
      <c r="F103" t="s">
        <v>12</v>
      </c>
      <c r="G103" t="s">
        <v>9</v>
      </c>
      <c r="H103" t="s">
        <v>11</v>
      </c>
      <c r="I103" t="s">
        <v>11</v>
      </c>
      <c r="J103" t="s">
        <v>11</v>
      </c>
      <c r="K103" t="s">
        <v>11</v>
      </c>
    </row>
    <row r="104" spans="1:11" x14ac:dyDescent="0.25">
      <c r="A104" t="s">
        <v>18</v>
      </c>
      <c r="B104" t="s">
        <v>7</v>
      </c>
      <c r="C104">
        <v>2</v>
      </c>
      <c r="D104">
        <v>2</v>
      </c>
      <c r="E104">
        <v>135000</v>
      </c>
      <c r="F104" t="s">
        <v>10</v>
      </c>
      <c r="H104" t="s">
        <v>12</v>
      </c>
      <c r="I104" t="s">
        <v>12</v>
      </c>
      <c r="J104" t="s">
        <v>11</v>
      </c>
      <c r="K104" t="s">
        <v>11</v>
      </c>
    </row>
    <row r="105" spans="1:11" x14ac:dyDescent="0.25">
      <c r="A105" t="s">
        <v>18</v>
      </c>
      <c r="B105" t="s">
        <v>15</v>
      </c>
      <c r="C105">
        <v>4</v>
      </c>
      <c r="D105">
        <v>5</v>
      </c>
      <c r="E105">
        <v>400000</v>
      </c>
      <c r="F105" t="s">
        <v>10</v>
      </c>
      <c r="G105" t="s">
        <v>9</v>
      </c>
      <c r="H105" t="s">
        <v>12</v>
      </c>
      <c r="I105" t="s">
        <v>11</v>
      </c>
      <c r="J105" t="s">
        <v>11</v>
      </c>
      <c r="K105" t="s">
        <v>11</v>
      </c>
    </row>
    <row r="106" spans="1:11" x14ac:dyDescent="0.25">
      <c r="A106" t="s">
        <v>18</v>
      </c>
      <c r="B106" t="s">
        <v>14</v>
      </c>
      <c r="C106">
        <v>3</v>
      </c>
      <c r="D106">
        <v>3</v>
      </c>
      <c r="E106">
        <v>270000</v>
      </c>
      <c r="F106" t="s">
        <v>10</v>
      </c>
      <c r="G106" t="s">
        <v>9</v>
      </c>
      <c r="H106" t="s">
        <v>12</v>
      </c>
      <c r="I106" t="s">
        <v>12</v>
      </c>
      <c r="J106" t="s">
        <v>11</v>
      </c>
      <c r="K106" t="s">
        <v>11</v>
      </c>
    </row>
    <row r="107" spans="1:11" x14ac:dyDescent="0.25">
      <c r="A107" t="s">
        <v>18</v>
      </c>
      <c r="B107" t="s">
        <v>15</v>
      </c>
      <c r="C107">
        <v>4</v>
      </c>
      <c r="D107">
        <v>4</v>
      </c>
      <c r="E107">
        <v>250000</v>
      </c>
      <c r="F107" t="s">
        <v>10</v>
      </c>
      <c r="G107" t="s">
        <v>9</v>
      </c>
      <c r="H107" t="s">
        <v>12</v>
      </c>
      <c r="I107" t="s">
        <v>12</v>
      </c>
      <c r="J107" t="s">
        <v>11</v>
      </c>
      <c r="K107" t="s">
        <v>11</v>
      </c>
    </row>
    <row r="108" spans="1:11" x14ac:dyDescent="0.25">
      <c r="A108" t="s">
        <v>18</v>
      </c>
      <c r="B108" t="s">
        <v>7</v>
      </c>
      <c r="C108">
        <v>2</v>
      </c>
      <c r="D108">
        <v>2</v>
      </c>
      <c r="E108">
        <v>323625</v>
      </c>
      <c r="F108" t="s">
        <v>11</v>
      </c>
      <c r="G108" t="s">
        <v>9</v>
      </c>
      <c r="H108" t="s">
        <v>11</v>
      </c>
      <c r="I108" t="s">
        <v>11</v>
      </c>
      <c r="J108" t="s">
        <v>11</v>
      </c>
      <c r="K108" t="s">
        <v>11</v>
      </c>
    </row>
    <row r="109" spans="1:11" x14ac:dyDescent="0.25">
      <c r="A109" t="s">
        <v>18</v>
      </c>
      <c r="B109" t="s">
        <v>15</v>
      </c>
      <c r="C109">
        <v>4</v>
      </c>
      <c r="D109">
        <v>4</v>
      </c>
      <c r="E109">
        <v>350000</v>
      </c>
      <c r="F109" t="s">
        <v>12</v>
      </c>
      <c r="G109" t="s">
        <v>9</v>
      </c>
      <c r="H109" t="s">
        <v>12</v>
      </c>
      <c r="I109" t="s">
        <v>12</v>
      </c>
      <c r="J109" t="s">
        <v>11</v>
      </c>
      <c r="K109" t="s">
        <v>11</v>
      </c>
    </row>
    <row r="110" spans="1:11" x14ac:dyDescent="0.25">
      <c r="A110" t="s">
        <v>18</v>
      </c>
      <c r="B110" t="s">
        <v>15</v>
      </c>
      <c r="C110">
        <v>4</v>
      </c>
      <c r="D110">
        <v>4</v>
      </c>
      <c r="E110">
        <v>300000</v>
      </c>
      <c r="F110" t="s">
        <v>12</v>
      </c>
      <c r="G110" t="s">
        <v>9</v>
      </c>
      <c r="H110" t="s">
        <v>12</v>
      </c>
      <c r="I110" t="s">
        <v>12</v>
      </c>
      <c r="J110" t="s">
        <v>11</v>
      </c>
      <c r="K110" t="s">
        <v>11</v>
      </c>
    </row>
    <row r="111" spans="1:11" x14ac:dyDescent="0.25">
      <c r="A111" t="s">
        <v>18</v>
      </c>
      <c r="B111" t="s">
        <v>14</v>
      </c>
      <c r="C111">
        <v>4</v>
      </c>
      <c r="D111">
        <v>5</v>
      </c>
      <c r="E111">
        <v>388500</v>
      </c>
      <c r="F111" t="s">
        <v>12</v>
      </c>
      <c r="G111" t="s">
        <v>9</v>
      </c>
      <c r="H111" t="s">
        <v>11</v>
      </c>
      <c r="I111" t="s">
        <v>11</v>
      </c>
      <c r="J111" t="s">
        <v>11</v>
      </c>
      <c r="K111" t="s">
        <v>11</v>
      </c>
    </row>
    <row r="112" spans="1:11" x14ac:dyDescent="0.25">
      <c r="A112" t="s">
        <v>18</v>
      </c>
      <c r="B112" t="s">
        <v>21</v>
      </c>
      <c r="C112">
        <v>4</v>
      </c>
      <c r="D112">
        <v>5</v>
      </c>
      <c r="E112">
        <v>315000</v>
      </c>
      <c r="F112" t="s">
        <v>12</v>
      </c>
      <c r="G112" t="s">
        <v>9</v>
      </c>
      <c r="H112" t="s">
        <v>12</v>
      </c>
      <c r="I112" t="s">
        <v>11</v>
      </c>
      <c r="J112" t="s">
        <v>11</v>
      </c>
      <c r="K112" t="s">
        <v>11</v>
      </c>
    </row>
    <row r="113" spans="1:11" x14ac:dyDescent="0.25">
      <c r="A113" t="s">
        <v>18</v>
      </c>
      <c r="B113" t="s">
        <v>22</v>
      </c>
      <c r="C113">
        <v>4</v>
      </c>
      <c r="E113">
        <v>350000</v>
      </c>
      <c r="F113" t="s">
        <v>12</v>
      </c>
      <c r="G113" t="s">
        <v>9</v>
      </c>
      <c r="H113" t="s">
        <v>12</v>
      </c>
      <c r="I113" t="s">
        <v>11</v>
      </c>
      <c r="J113" t="s">
        <v>11</v>
      </c>
      <c r="K113" t="s">
        <v>11</v>
      </c>
    </row>
    <row r="114" spans="1:11" x14ac:dyDescent="0.25">
      <c r="A114" t="s">
        <v>18</v>
      </c>
      <c r="B114" t="s">
        <v>15</v>
      </c>
      <c r="C114">
        <v>5</v>
      </c>
      <c r="E114">
        <v>646550</v>
      </c>
      <c r="F114" t="s">
        <v>12</v>
      </c>
      <c r="G114" t="s">
        <v>9</v>
      </c>
      <c r="H114" t="s">
        <v>12</v>
      </c>
      <c r="I114" t="s">
        <v>12</v>
      </c>
      <c r="J114" t="s">
        <v>11</v>
      </c>
      <c r="K114" t="s">
        <v>11</v>
      </c>
    </row>
    <row r="115" spans="1:11" x14ac:dyDescent="0.25">
      <c r="A115" t="s">
        <v>18</v>
      </c>
      <c r="B115" t="s">
        <v>15</v>
      </c>
      <c r="C115">
        <v>4</v>
      </c>
      <c r="D115">
        <v>4</v>
      </c>
      <c r="E115">
        <v>421000</v>
      </c>
      <c r="F115" t="s">
        <v>12</v>
      </c>
      <c r="G115" t="s">
        <v>9</v>
      </c>
      <c r="H115" t="s">
        <v>12</v>
      </c>
      <c r="I115" t="s">
        <v>12</v>
      </c>
      <c r="J115" t="s">
        <v>11</v>
      </c>
      <c r="K115" t="s">
        <v>11</v>
      </c>
    </row>
    <row r="116" spans="1:11" x14ac:dyDescent="0.25">
      <c r="A116" t="s">
        <v>18</v>
      </c>
      <c r="B116" t="s">
        <v>15</v>
      </c>
      <c r="C116">
        <v>5</v>
      </c>
      <c r="D116">
        <v>5</v>
      </c>
      <c r="E116">
        <v>500000</v>
      </c>
      <c r="F116" t="s">
        <v>12</v>
      </c>
      <c r="G116" t="s">
        <v>9</v>
      </c>
      <c r="H116" t="s">
        <v>12</v>
      </c>
      <c r="I116" t="s">
        <v>12</v>
      </c>
      <c r="J116" t="s">
        <v>11</v>
      </c>
      <c r="K116" t="s">
        <v>11</v>
      </c>
    </row>
    <row r="117" spans="1:11" x14ac:dyDescent="0.25">
      <c r="A117" t="s">
        <v>18</v>
      </c>
      <c r="B117" t="s">
        <v>14</v>
      </c>
      <c r="C117">
        <v>5</v>
      </c>
      <c r="D117">
        <v>6</v>
      </c>
      <c r="E117">
        <v>570000</v>
      </c>
      <c r="F117" t="s">
        <v>12</v>
      </c>
      <c r="G117" t="s">
        <v>9</v>
      </c>
      <c r="H117" t="s">
        <v>11</v>
      </c>
      <c r="I117" t="s">
        <v>11</v>
      </c>
      <c r="J117" t="s">
        <v>11</v>
      </c>
      <c r="K117" t="s">
        <v>11</v>
      </c>
    </row>
    <row r="118" spans="1:11" x14ac:dyDescent="0.25">
      <c r="A118" t="s">
        <v>18</v>
      </c>
      <c r="B118" t="s">
        <v>7</v>
      </c>
      <c r="C118">
        <v>1</v>
      </c>
      <c r="D118">
        <v>1</v>
      </c>
      <c r="E118">
        <v>90000</v>
      </c>
      <c r="F118" t="s">
        <v>11</v>
      </c>
      <c r="H118" t="s">
        <v>11</v>
      </c>
      <c r="I118" t="s">
        <v>12</v>
      </c>
      <c r="J118" t="s">
        <v>11</v>
      </c>
      <c r="K118" t="s">
        <v>11</v>
      </c>
    </row>
    <row r="119" spans="1:11" x14ac:dyDescent="0.25">
      <c r="A119" t="s">
        <v>18</v>
      </c>
      <c r="B119" t="s">
        <v>15</v>
      </c>
      <c r="C119">
        <v>5</v>
      </c>
      <c r="D119">
        <v>5</v>
      </c>
      <c r="E119">
        <v>520000</v>
      </c>
      <c r="F119" t="s">
        <v>12</v>
      </c>
      <c r="G119" t="s">
        <v>9</v>
      </c>
      <c r="H119" t="s">
        <v>12</v>
      </c>
      <c r="I119" t="s">
        <v>12</v>
      </c>
      <c r="J119" t="s">
        <v>11</v>
      </c>
      <c r="K119" t="s">
        <v>11</v>
      </c>
    </row>
    <row r="120" spans="1:11" x14ac:dyDescent="0.25">
      <c r="A120" t="s">
        <v>18</v>
      </c>
      <c r="B120" t="s">
        <v>15</v>
      </c>
      <c r="C120">
        <v>5</v>
      </c>
      <c r="D120">
        <v>6</v>
      </c>
      <c r="E120">
        <v>580000</v>
      </c>
      <c r="F120" t="s">
        <v>12</v>
      </c>
      <c r="G120" t="s">
        <v>9</v>
      </c>
      <c r="H120" t="s">
        <v>12</v>
      </c>
      <c r="I120" t="s">
        <v>12</v>
      </c>
      <c r="J120" t="s">
        <v>11</v>
      </c>
      <c r="K120" t="s">
        <v>11</v>
      </c>
    </row>
    <row r="121" spans="1:11" x14ac:dyDescent="0.25">
      <c r="A121" t="s">
        <v>18</v>
      </c>
      <c r="B121" t="s">
        <v>14</v>
      </c>
      <c r="C121">
        <v>3</v>
      </c>
      <c r="D121">
        <v>3</v>
      </c>
      <c r="E121">
        <v>270000</v>
      </c>
      <c r="F121" t="s">
        <v>12</v>
      </c>
      <c r="G121" t="s">
        <v>9</v>
      </c>
      <c r="H121" t="s">
        <v>12</v>
      </c>
      <c r="I121" t="s">
        <v>12</v>
      </c>
      <c r="J121" t="s">
        <v>11</v>
      </c>
      <c r="K121" t="s">
        <v>11</v>
      </c>
    </row>
    <row r="122" spans="1:11" x14ac:dyDescent="0.25">
      <c r="A122" t="s">
        <v>18</v>
      </c>
      <c r="B122" t="s">
        <v>15</v>
      </c>
      <c r="C122">
        <v>4</v>
      </c>
      <c r="D122">
        <v>4</v>
      </c>
      <c r="E122">
        <v>450000</v>
      </c>
      <c r="F122" t="s">
        <v>12</v>
      </c>
      <c r="G122" t="s">
        <v>9</v>
      </c>
      <c r="H122" t="s">
        <v>12</v>
      </c>
      <c r="I122" t="s">
        <v>12</v>
      </c>
      <c r="J122" t="s">
        <v>11</v>
      </c>
      <c r="K122" t="s">
        <v>11</v>
      </c>
    </row>
    <row r="123" spans="1:11" x14ac:dyDescent="0.25">
      <c r="A123" t="s">
        <v>25</v>
      </c>
      <c r="B123" t="s">
        <v>7</v>
      </c>
      <c r="C123">
        <v>3</v>
      </c>
      <c r="D123">
        <v>3</v>
      </c>
      <c r="E123">
        <v>220000</v>
      </c>
      <c r="F123" t="s">
        <v>12</v>
      </c>
      <c r="G123" t="s">
        <v>9</v>
      </c>
      <c r="H123" t="s">
        <v>11</v>
      </c>
      <c r="I123" t="s">
        <v>11</v>
      </c>
      <c r="J123" t="s">
        <v>11</v>
      </c>
      <c r="K123" t="s">
        <v>11</v>
      </c>
    </row>
    <row r="124" spans="1:11" x14ac:dyDescent="0.25">
      <c r="A124" t="s">
        <v>25</v>
      </c>
      <c r="B124" t="s">
        <v>7</v>
      </c>
      <c r="C124">
        <v>3</v>
      </c>
      <c r="D124">
        <v>4</v>
      </c>
      <c r="E124">
        <v>220000</v>
      </c>
      <c r="F124" t="s">
        <v>12</v>
      </c>
      <c r="G124" t="s">
        <v>9</v>
      </c>
      <c r="H124" t="s">
        <v>11</v>
      </c>
      <c r="I124" t="s">
        <v>11</v>
      </c>
      <c r="J124" t="s">
        <v>11</v>
      </c>
      <c r="K124" t="s">
        <v>11</v>
      </c>
    </row>
    <row r="125" spans="1:11" x14ac:dyDescent="0.25">
      <c r="A125" t="s">
        <v>25</v>
      </c>
      <c r="B125" t="s">
        <v>7</v>
      </c>
      <c r="C125">
        <v>3</v>
      </c>
      <c r="D125">
        <v>4</v>
      </c>
      <c r="E125">
        <v>320000</v>
      </c>
      <c r="F125" t="s">
        <v>12</v>
      </c>
      <c r="G125" t="s">
        <v>9</v>
      </c>
      <c r="H125" t="s">
        <v>11</v>
      </c>
      <c r="I125" t="s">
        <v>11</v>
      </c>
      <c r="J125" t="s">
        <v>11</v>
      </c>
      <c r="K125" t="s">
        <v>11</v>
      </c>
    </row>
    <row r="126" spans="1:11" x14ac:dyDescent="0.25">
      <c r="A126" t="s">
        <v>25</v>
      </c>
      <c r="B126" t="s">
        <v>7</v>
      </c>
      <c r="C126">
        <v>3</v>
      </c>
      <c r="D126">
        <v>4</v>
      </c>
      <c r="E126">
        <v>320000</v>
      </c>
      <c r="F126" t="s">
        <v>9</v>
      </c>
      <c r="G126" t="s">
        <v>9</v>
      </c>
      <c r="H126" t="s">
        <v>11</v>
      </c>
      <c r="I126" t="s">
        <v>11</v>
      </c>
      <c r="J126" t="s">
        <v>11</v>
      </c>
      <c r="K126" t="s">
        <v>11</v>
      </c>
    </row>
    <row r="127" spans="1:11" x14ac:dyDescent="0.25">
      <c r="A127" t="s">
        <v>25</v>
      </c>
      <c r="B127" t="s">
        <v>7</v>
      </c>
      <c r="C127">
        <v>2</v>
      </c>
      <c r="D127">
        <v>2</v>
      </c>
      <c r="E127">
        <v>80000</v>
      </c>
      <c r="F127" t="s">
        <v>10</v>
      </c>
      <c r="G127" t="s">
        <v>9</v>
      </c>
      <c r="H127" t="s">
        <v>11</v>
      </c>
      <c r="I127" t="s">
        <v>12</v>
      </c>
      <c r="J127" t="s">
        <v>11</v>
      </c>
      <c r="K127" t="s">
        <v>11</v>
      </c>
    </row>
    <row r="128" spans="1:11" x14ac:dyDescent="0.25">
      <c r="A128" t="s">
        <v>25</v>
      </c>
      <c r="B128" t="s">
        <v>7</v>
      </c>
      <c r="C128">
        <v>2</v>
      </c>
      <c r="D128">
        <v>2</v>
      </c>
      <c r="E128">
        <v>80000</v>
      </c>
      <c r="F128" t="s">
        <v>10</v>
      </c>
      <c r="G128" t="s">
        <v>9</v>
      </c>
      <c r="H128" t="s">
        <v>11</v>
      </c>
      <c r="I128" t="s">
        <v>12</v>
      </c>
      <c r="J128" t="s">
        <v>11</v>
      </c>
      <c r="K128" t="s">
        <v>11</v>
      </c>
    </row>
    <row r="129" spans="1:11" x14ac:dyDescent="0.25">
      <c r="A129" t="s">
        <v>25</v>
      </c>
      <c r="B129" t="s">
        <v>7</v>
      </c>
      <c r="C129">
        <v>5</v>
      </c>
      <c r="D129">
        <v>6</v>
      </c>
      <c r="E129">
        <v>135000</v>
      </c>
      <c r="F129" t="s">
        <v>10</v>
      </c>
      <c r="G129" t="s">
        <v>9</v>
      </c>
      <c r="H129" t="s">
        <v>11</v>
      </c>
      <c r="I129" t="s">
        <v>11</v>
      </c>
      <c r="J129" t="s">
        <v>11</v>
      </c>
      <c r="K129" t="s">
        <v>11</v>
      </c>
    </row>
    <row r="130" spans="1:11" x14ac:dyDescent="0.25">
      <c r="A130" t="s">
        <v>25</v>
      </c>
      <c r="B130" t="s">
        <v>7</v>
      </c>
      <c r="C130">
        <v>5</v>
      </c>
      <c r="D130">
        <v>4</v>
      </c>
      <c r="E130">
        <v>135000</v>
      </c>
      <c r="F130" t="s">
        <v>10</v>
      </c>
      <c r="G130" t="s">
        <v>9</v>
      </c>
      <c r="H130" t="s">
        <v>11</v>
      </c>
      <c r="I130" t="s">
        <v>11</v>
      </c>
      <c r="J130" t="s">
        <v>11</v>
      </c>
      <c r="K130" t="s">
        <v>11</v>
      </c>
    </row>
    <row r="131" spans="1:11" x14ac:dyDescent="0.25">
      <c r="A131" t="s">
        <v>25</v>
      </c>
      <c r="B131" t="s">
        <v>7</v>
      </c>
      <c r="C131">
        <v>3</v>
      </c>
      <c r="D131">
        <v>3</v>
      </c>
      <c r="E131">
        <v>250000</v>
      </c>
      <c r="F131" t="s">
        <v>10</v>
      </c>
      <c r="G131" t="s">
        <v>9</v>
      </c>
      <c r="H131" t="s">
        <v>11</v>
      </c>
      <c r="I131" t="s">
        <v>12</v>
      </c>
      <c r="J131" t="s">
        <v>11</v>
      </c>
      <c r="K131" t="s">
        <v>11</v>
      </c>
    </row>
    <row r="132" spans="1:11" x14ac:dyDescent="0.25">
      <c r="A132" t="s">
        <v>25</v>
      </c>
      <c r="B132" t="s">
        <v>7</v>
      </c>
      <c r="C132">
        <v>5</v>
      </c>
      <c r="D132">
        <v>5</v>
      </c>
      <c r="E132">
        <v>175000</v>
      </c>
      <c r="F132" t="s">
        <v>12</v>
      </c>
      <c r="G132" t="s">
        <v>9</v>
      </c>
      <c r="H132" t="s">
        <v>11</v>
      </c>
      <c r="I132" t="s">
        <v>12</v>
      </c>
      <c r="J132" t="s">
        <v>11</v>
      </c>
      <c r="K132" t="s">
        <v>11</v>
      </c>
    </row>
    <row r="133" spans="1:11" x14ac:dyDescent="0.25">
      <c r="A133" t="s">
        <v>25</v>
      </c>
      <c r="B133" t="s">
        <v>7</v>
      </c>
      <c r="C133">
        <v>3</v>
      </c>
      <c r="D133">
        <v>3</v>
      </c>
      <c r="E133">
        <v>120000</v>
      </c>
      <c r="F133" t="s">
        <v>12</v>
      </c>
      <c r="G133" t="s">
        <v>9</v>
      </c>
      <c r="H133" t="s">
        <v>12</v>
      </c>
      <c r="I133" t="s">
        <v>12</v>
      </c>
      <c r="J133" t="s">
        <v>11</v>
      </c>
      <c r="K133" t="s">
        <v>11</v>
      </c>
    </row>
    <row r="134" spans="1:11" x14ac:dyDescent="0.25">
      <c r="A134" t="s">
        <v>25</v>
      </c>
      <c r="B134" t="s">
        <v>7</v>
      </c>
      <c r="C134">
        <v>3</v>
      </c>
      <c r="D134">
        <v>3</v>
      </c>
      <c r="E134">
        <v>280000</v>
      </c>
      <c r="F134" t="s">
        <v>12</v>
      </c>
      <c r="G134" t="s">
        <v>9</v>
      </c>
      <c r="H134" t="s">
        <v>11</v>
      </c>
      <c r="I134" t="s">
        <v>11</v>
      </c>
      <c r="J134" t="s">
        <v>11</v>
      </c>
      <c r="K134" t="s">
        <v>11</v>
      </c>
    </row>
    <row r="135" spans="1:11" x14ac:dyDescent="0.25">
      <c r="A135" t="s">
        <v>25</v>
      </c>
      <c r="B135" t="s">
        <v>7</v>
      </c>
      <c r="C135">
        <v>4</v>
      </c>
      <c r="D135">
        <v>3</v>
      </c>
      <c r="E135">
        <v>100000</v>
      </c>
      <c r="F135" t="s">
        <v>12</v>
      </c>
      <c r="G135" t="s">
        <v>9</v>
      </c>
      <c r="H135" t="s">
        <v>12</v>
      </c>
      <c r="I135" t="s">
        <v>12</v>
      </c>
      <c r="J135" t="s">
        <v>11</v>
      </c>
      <c r="K135" t="s">
        <v>11</v>
      </c>
    </row>
    <row r="136" spans="1:11" x14ac:dyDescent="0.25">
      <c r="A136" t="s">
        <v>25</v>
      </c>
      <c r="B136" t="s">
        <v>7</v>
      </c>
      <c r="C136">
        <v>4</v>
      </c>
      <c r="D136">
        <v>4</v>
      </c>
      <c r="E136">
        <v>380000</v>
      </c>
      <c r="F136" t="s">
        <v>12</v>
      </c>
      <c r="G136" t="s">
        <v>9</v>
      </c>
      <c r="H136" t="s">
        <v>11</v>
      </c>
      <c r="I136" t="s">
        <v>11</v>
      </c>
      <c r="J136" t="s">
        <v>11</v>
      </c>
      <c r="K136" t="s">
        <v>11</v>
      </c>
    </row>
    <row r="137" spans="1:11" x14ac:dyDescent="0.25">
      <c r="A137" t="s">
        <v>25</v>
      </c>
      <c r="B137" t="s">
        <v>7</v>
      </c>
      <c r="C137">
        <v>3</v>
      </c>
      <c r="D137">
        <v>3</v>
      </c>
      <c r="E137">
        <v>290000</v>
      </c>
      <c r="F137" t="s">
        <v>10</v>
      </c>
      <c r="G137" t="s">
        <v>9</v>
      </c>
      <c r="H137" t="s">
        <v>11</v>
      </c>
      <c r="I137" t="s">
        <v>11</v>
      </c>
      <c r="J137" t="s">
        <v>11</v>
      </c>
      <c r="K137" t="s">
        <v>11</v>
      </c>
    </row>
    <row r="138" spans="1:11" x14ac:dyDescent="0.25">
      <c r="A138" t="s">
        <v>25</v>
      </c>
      <c r="B138" t="s">
        <v>7</v>
      </c>
      <c r="C138">
        <v>2</v>
      </c>
      <c r="D138">
        <v>2</v>
      </c>
      <c r="E138">
        <v>150000</v>
      </c>
      <c r="F138" t="s">
        <v>9</v>
      </c>
      <c r="G138" t="s">
        <v>9</v>
      </c>
      <c r="H138" t="s">
        <v>11</v>
      </c>
      <c r="I138" t="s">
        <v>11</v>
      </c>
      <c r="J138" t="s">
        <v>11</v>
      </c>
      <c r="K138" t="s">
        <v>11</v>
      </c>
    </row>
    <row r="139" spans="1:11" x14ac:dyDescent="0.25">
      <c r="A139" t="s">
        <v>25</v>
      </c>
      <c r="B139" t="s">
        <v>7</v>
      </c>
      <c r="C139">
        <v>4</v>
      </c>
      <c r="D139">
        <v>4</v>
      </c>
      <c r="E139">
        <v>280000</v>
      </c>
      <c r="F139" t="s">
        <v>9</v>
      </c>
      <c r="G139" t="s">
        <v>9</v>
      </c>
      <c r="H139" t="s">
        <v>12</v>
      </c>
      <c r="I139" t="s">
        <v>11</v>
      </c>
      <c r="J139" t="s">
        <v>11</v>
      </c>
      <c r="K139" t="s">
        <v>11</v>
      </c>
    </row>
    <row r="140" spans="1:11" x14ac:dyDescent="0.25">
      <c r="A140" t="s">
        <v>25</v>
      </c>
      <c r="B140" t="s">
        <v>7</v>
      </c>
      <c r="C140">
        <v>4</v>
      </c>
      <c r="D140">
        <v>4</v>
      </c>
      <c r="E140">
        <v>160000</v>
      </c>
      <c r="F140" t="s">
        <v>12</v>
      </c>
      <c r="G140" t="s">
        <v>9</v>
      </c>
      <c r="H140" t="s">
        <v>12</v>
      </c>
      <c r="I140" t="s">
        <v>11</v>
      </c>
      <c r="J140" t="s">
        <v>11</v>
      </c>
      <c r="K140" t="s">
        <v>11</v>
      </c>
    </row>
    <row r="141" spans="1:11" x14ac:dyDescent="0.25">
      <c r="A141" t="s">
        <v>26</v>
      </c>
      <c r="B141" t="s">
        <v>7</v>
      </c>
      <c r="C141">
        <v>2</v>
      </c>
      <c r="D141">
        <v>2</v>
      </c>
      <c r="E141">
        <v>220000</v>
      </c>
      <c r="F141" t="s">
        <v>11</v>
      </c>
      <c r="G141" t="s">
        <v>9</v>
      </c>
      <c r="H141" t="s">
        <v>11</v>
      </c>
      <c r="I141" t="s">
        <v>11</v>
      </c>
      <c r="J141" t="s">
        <v>11</v>
      </c>
      <c r="K141" t="s">
        <v>11</v>
      </c>
    </row>
    <row r="142" spans="1:11" x14ac:dyDescent="0.25">
      <c r="A142" t="s">
        <v>26</v>
      </c>
      <c r="B142" t="s">
        <v>14</v>
      </c>
      <c r="C142">
        <v>4</v>
      </c>
      <c r="D142">
        <v>3</v>
      </c>
      <c r="E142">
        <v>190000</v>
      </c>
      <c r="F142" t="s">
        <v>10</v>
      </c>
      <c r="G142" t="s">
        <v>12</v>
      </c>
      <c r="H142" t="s">
        <v>12</v>
      </c>
      <c r="I142" t="s">
        <v>12</v>
      </c>
      <c r="J142" t="s">
        <v>11</v>
      </c>
      <c r="K142" t="s">
        <v>11</v>
      </c>
    </row>
    <row r="143" spans="1:11" x14ac:dyDescent="0.25">
      <c r="A143" t="s">
        <v>26</v>
      </c>
      <c r="B143" t="s">
        <v>7</v>
      </c>
      <c r="C143">
        <v>3</v>
      </c>
      <c r="D143">
        <v>4</v>
      </c>
      <c r="E143">
        <v>130000</v>
      </c>
      <c r="F143" t="s">
        <v>10</v>
      </c>
      <c r="G143" t="s">
        <v>9</v>
      </c>
      <c r="H143" t="s">
        <v>11</v>
      </c>
      <c r="I143" t="s">
        <v>11</v>
      </c>
      <c r="J143" t="s">
        <v>11</v>
      </c>
      <c r="K143" t="s">
        <v>11</v>
      </c>
    </row>
    <row r="144" spans="1:11" x14ac:dyDescent="0.25">
      <c r="A144" t="s">
        <v>26</v>
      </c>
      <c r="B144" t="s">
        <v>23</v>
      </c>
      <c r="C144">
        <v>1</v>
      </c>
      <c r="D144">
        <v>1</v>
      </c>
      <c r="E144">
        <v>65000</v>
      </c>
      <c r="F144" t="s">
        <v>9</v>
      </c>
      <c r="G144" t="s">
        <v>9</v>
      </c>
      <c r="H144" t="s">
        <v>11</v>
      </c>
      <c r="I144" t="s">
        <v>12</v>
      </c>
      <c r="J144" t="s">
        <v>11</v>
      </c>
      <c r="K144" t="s">
        <v>11</v>
      </c>
    </row>
    <row r="145" spans="1:11" x14ac:dyDescent="0.25">
      <c r="A145" t="s">
        <v>26</v>
      </c>
      <c r="B145" t="s">
        <v>7</v>
      </c>
      <c r="C145">
        <v>4</v>
      </c>
      <c r="D145">
        <v>5</v>
      </c>
      <c r="E145">
        <v>170000</v>
      </c>
      <c r="F145" t="s">
        <v>10</v>
      </c>
      <c r="G145" t="s">
        <v>9</v>
      </c>
      <c r="H145" t="s">
        <v>11</v>
      </c>
      <c r="I145" t="s">
        <v>11</v>
      </c>
      <c r="J145" t="s">
        <v>11</v>
      </c>
      <c r="K145" t="s">
        <v>11</v>
      </c>
    </row>
    <row r="146" spans="1:11" x14ac:dyDescent="0.25">
      <c r="A146" t="s">
        <v>26</v>
      </c>
      <c r="B146" t="s">
        <v>23</v>
      </c>
      <c r="C146">
        <v>0</v>
      </c>
      <c r="D146">
        <v>1</v>
      </c>
      <c r="E146">
        <v>65000</v>
      </c>
      <c r="F146" t="s">
        <v>9</v>
      </c>
      <c r="G146" t="s">
        <v>9</v>
      </c>
      <c r="H146" t="s">
        <v>11</v>
      </c>
      <c r="I146" t="s">
        <v>12</v>
      </c>
      <c r="J146" t="s">
        <v>11</v>
      </c>
      <c r="K146" t="s">
        <v>11</v>
      </c>
    </row>
    <row r="147" spans="1:11" x14ac:dyDescent="0.25">
      <c r="A147" t="s">
        <v>26</v>
      </c>
      <c r="B147" t="s">
        <v>7</v>
      </c>
      <c r="C147">
        <v>2</v>
      </c>
      <c r="D147">
        <v>2</v>
      </c>
      <c r="E147">
        <v>100000</v>
      </c>
      <c r="F147" t="s">
        <v>10</v>
      </c>
      <c r="G147" t="s">
        <v>9</v>
      </c>
      <c r="H147" t="s">
        <v>11</v>
      </c>
      <c r="I147" t="s">
        <v>11</v>
      </c>
      <c r="J147" t="s">
        <v>11</v>
      </c>
      <c r="K147" t="s">
        <v>11</v>
      </c>
    </row>
    <row r="148" spans="1:11" x14ac:dyDescent="0.25">
      <c r="A148" t="s">
        <v>26</v>
      </c>
      <c r="B148" t="s">
        <v>7</v>
      </c>
      <c r="C148">
        <v>3</v>
      </c>
      <c r="D148">
        <v>5</v>
      </c>
      <c r="E148">
        <v>160000</v>
      </c>
      <c r="F148" t="s">
        <v>12</v>
      </c>
      <c r="G148" t="s">
        <v>9</v>
      </c>
      <c r="H148" t="s">
        <v>11</v>
      </c>
      <c r="I148" t="s">
        <v>11</v>
      </c>
      <c r="J148" t="s">
        <v>11</v>
      </c>
      <c r="K148" t="s">
        <v>11</v>
      </c>
    </row>
    <row r="149" spans="1:11" x14ac:dyDescent="0.25">
      <c r="A149" t="s">
        <v>26</v>
      </c>
      <c r="B149" t="s">
        <v>7</v>
      </c>
      <c r="C149">
        <v>4</v>
      </c>
      <c r="D149">
        <v>5</v>
      </c>
      <c r="E149">
        <v>520000</v>
      </c>
      <c r="F149" t="s">
        <v>9</v>
      </c>
      <c r="G149" t="s">
        <v>9</v>
      </c>
      <c r="H149" t="s">
        <v>11</v>
      </c>
      <c r="I149" t="s">
        <v>11</v>
      </c>
      <c r="J149" t="s">
        <v>11</v>
      </c>
      <c r="K149" t="s">
        <v>11</v>
      </c>
    </row>
    <row r="150" spans="1:11" x14ac:dyDescent="0.25">
      <c r="A150" t="s">
        <v>26</v>
      </c>
      <c r="B150" t="s">
        <v>7</v>
      </c>
      <c r="C150">
        <v>3</v>
      </c>
      <c r="D150">
        <v>3</v>
      </c>
      <c r="E150">
        <v>316000</v>
      </c>
      <c r="F150" t="s">
        <v>9</v>
      </c>
      <c r="G150" t="s">
        <v>9</v>
      </c>
      <c r="H150" t="s">
        <v>11</v>
      </c>
      <c r="I150" t="s">
        <v>11</v>
      </c>
      <c r="J150" t="s">
        <v>11</v>
      </c>
      <c r="K150" t="s">
        <v>11</v>
      </c>
    </row>
    <row r="151" spans="1:11" x14ac:dyDescent="0.25">
      <c r="A151" t="s">
        <v>26</v>
      </c>
      <c r="B151" t="s">
        <v>7</v>
      </c>
      <c r="C151">
        <v>3</v>
      </c>
      <c r="D151">
        <v>2</v>
      </c>
      <c r="E151">
        <v>100000</v>
      </c>
      <c r="F151" t="s">
        <v>12</v>
      </c>
      <c r="G151" t="s">
        <v>9</v>
      </c>
      <c r="H151" t="s">
        <v>12</v>
      </c>
      <c r="I151" t="s">
        <v>12</v>
      </c>
      <c r="J151" t="s">
        <v>11</v>
      </c>
      <c r="K151" t="s">
        <v>11</v>
      </c>
    </row>
    <row r="152" spans="1:11" x14ac:dyDescent="0.25">
      <c r="A152" t="s">
        <v>26</v>
      </c>
      <c r="B152" t="s">
        <v>23</v>
      </c>
      <c r="D152">
        <v>1</v>
      </c>
      <c r="E152">
        <v>85000</v>
      </c>
      <c r="F152" t="s">
        <v>9</v>
      </c>
      <c r="G152" t="s">
        <v>9</v>
      </c>
      <c r="H152" t="s">
        <v>11</v>
      </c>
      <c r="I152" t="s">
        <v>12</v>
      </c>
      <c r="J152" t="s">
        <v>11</v>
      </c>
      <c r="K152" t="s">
        <v>11</v>
      </c>
    </row>
    <row r="153" spans="1:11" x14ac:dyDescent="0.25">
      <c r="A153" t="s">
        <v>26</v>
      </c>
      <c r="B153" t="s">
        <v>7</v>
      </c>
      <c r="C153">
        <v>3</v>
      </c>
      <c r="D153">
        <v>4</v>
      </c>
      <c r="E153">
        <v>130000</v>
      </c>
      <c r="F153" t="s">
        <v>10</v>
      </c>
      <c r="G153" t="s">
        <v>9</v>
      </c>
      <c r="H153" t="s">
        <v>11</v>
      </c>
      <c r="I153" t="s">
        <v>11</v>
      </c>
      <c r="J153" t="s">
        <v>11</v>
      </c>
      <c r="K153" t="s">
        <v>11</v>
      </c>
    </row>
    <row r="154" spans="1:11" x14ac:dyDescent="0.25">
      <c r="A154" t="s">
        <v>26</v>
      </c>
      <c r="B154" t="s">
        <v>14</v>
      </c>
      <c r="C154">
        <v>5</v>
      </c>
      <c r="D154">
        <v>6</v>
      </c>
      <c r="E154">
        <v>380000</v>
      </c>
      <c r="F154" t="s">
        <v>12</v>
      </c>
      <c r="G154" t="s">
        <v>9</v>
      </c>
      <c r="H154" t="s">
        <v>11</v>
      </c>
      <c r="I154" t="s">
        <v>11</v>
      </c>
      <c r="J154" t="s">
        <v>11</v>
      </c>
      <c r="K154" t="s">
        <v>11</v>
      </c>
    </row>
    <row r="155" spans="1:11" x14ac:dyDescent="0.25">
      <c r="A155" t="s">
        <v>26</v>
      </c>
      <c r="B155" t="s">
        <v>7</v>
      </c>
      <c r="C155">
        <v>2</v>
      </c>
      <c r="D155">
        <v>2</v>
      </c>
      <c r="E155">
        <v>150000</v>
      </c>
      <c r="F155" t="s">
        <v>10</v>
      </c>
      <c r="G155" t="s">
        <v>9</v>
      </c>
      <c r="H155" t="s">
        <v>11</v>
      </c>
      <c r="I155" t="s">
        <v>11</v>
      </c>
      <c r="J155" t="s">
        <v>11</v>
      </c>
      <c r="K155" t="s">
        <v>11</v>
      </c>
    </row>
    <row r="156" spans="1:11" x14ac:dyDescent="0.25">
      <c r="A156" t="s">
        <v>26</v>
      </c>
      <c r="B156" t="s">
        <v>7</v>
      </c>
      <c r="C156">
        <v>3</v>
      </c>
      <c r="D156">
        <v>3</v>
      </c>
      <c r="E156">
        <v>165000</v>
      </c>
      <c r="F156" t="s">
        <v>10</v>
      </c>
      <c r="G156" t="s">
        <v>9</v>
      </c>
      <c r="H156" t="s">
        <v>11</v>
      </c>
      <c r="I156" t="s">
        <v>11</v>
      </c>
      <c r="J156" t="s">
        <v>11</v>
      </c>
      <c r="K156" t="s">
        <v>11</v>
      </c>
    </row>
    <row r="157" spans="1:11" x14ac:dyDescent="0.25">
      <c r="A157" t="s">
        <v>26</v>
      </c>
      <c r="B157" t="s">
        <v>7</v>
      </c>
      <c r="C157">
        <v>2</v>
      </c>
      <c r="D157">
        <v>2</v>
      </c>
      <c r="E157">
        <v>100000</v>
      </c>
      <c r="F157" t="s">
        <v>10</v>
      </c>
      <c r="G157" t="s">
        <v>9</v>
      </c>
      <c r="H157" t="s">
        <v>11</v>
      </c>
      <c r="I157" t="s">
        <v>11</v>
      </c>
      <c r="J157" t="s">
        <v>11</v>
      </c>
      <c r="K157" t="s">
        <v>11</v>
      </c>
    </row>
    <row r="158" spans="1:11" x14ac:dyDescent="0.25">
      <c r="A158" t="s">
        <v>26</v>
      </c>
      <c r="B158" t="s">
        <v>14</v>
      </c>
      <c r="C158">
        <v>3</v>
      </c>
      <c r="D158">
        <v>3</v>
      </c>
      <c r="E158">
        <v>250000</v>
      </c>
      <c r="F158" t="s">
        <v>10</v>
      </c>
      <c r="G158" t="s">
        <v>9</v>
      </c>
      <c r="H158" t="s">
        <v>11</v>
      </c>
      <c r="I158" t="s">
        <v>11</v>
      </c>
      <c r="J158" t="s">
        <v>11</v>
      </c>
      <c r="K158" t="s">
        <v>11</v>
      </c>
    </row>
    <row r="159" spans="1:11" x14ac:dyDescent="0.25">
      <c r="A159" t="s">
        <v>26</v>
      </c>
      <c r="B159" t="s">
        <v>14</v>
      </c>
      <c r="C159">
        <v>4</v>
      </c>
      <c r="D159">
        <v>5</v>
      </c>
      <c r="E159">
        <v>120000</v>
      </c>
      <c r="F159" t="s">
        <v>10</v>
      </c>
      <c r="G159" t="s">
        <v>9</v>
      </c>
      <c r="H159" t="s">
        <v>12</v>
      </c>
      <c r="I159" t="s">
        <v>12</v>
      </c>
      <c r="J159" t="s">
        <v>11</v>
      </c>
      <c r="K159" t="s">
        <v>11</v>
      </c>
    </row>
    <row r="160" spans="1:11" x14ac:dyDescent="0.25">
      <c r="A160" t="s">
        <v>26</v>
      </c>
      <c r="B160" t="s">
        <v>7</v>
      </c>
      <c r="C160">
        <v>2</v>
      </c>
      <c r="D160">
        <v>2</v>
      </c>
      <c r="E160">
        <v>100000</v>
      </c>
      <c r="F160" t="s">
        <v>10</v>
      </c>
      <c r="G160" t="s">
        <v>9</v>
      </c>
      <c r="H160" t="s">
        <v>11</v>
      </c>
      <c r="I160" t="s">
        <v>11</v>
      </c>
      <c r="J160" t="s">
        <v>11</v>
      </c>
      <c r="K160" t="s">
        <v>11</v>
      </c>
    </row>
    <row r="161" spans="1:11" x14ac:dyDescent="0.25">
      <c r="A161" t="s">
        <v>26</v>
      </c>
      <c r="B161" t="s">
        <v>24</v>
      </c>
      <c r="C161">
        <v>0</v>
      </c>
      <c r="D161">
        <v>1</v>
      </c>
      <c r="E161">
        <v>100000</v>
      </c>
      <c r="F161" t="s">
        <v>9</v>
      </c>
      <c r="G161" t="s">
        <v>9</v>
      </c>
      <c r="H161" t="s">
        <v>11</v>
      </c>
      <c r="I161" t="s">
        <v>11</v>
      </c>
      <c r="J161" t="s">
        <v>11</v>
      </c>
      <c r="K161" t="s">
        <v>11</v>
      </c>
    </row>
    <row r="162" spans="1:11" x14ac:dyDescent="0.25">
      <c r="A162" t="s">
        <v>27</v>
      </c>
      <c r="B162" t="s">
        <v>7</v>
      </c>
      <c r="C162">
        <v>6</v>
      </c>
      <c r="D162">
        <v>7</v>
      </c>
      <c r="E162">
        <v>210000</v>
      </c>
      <c r="F162" t="s">
        <v>10</v>
      </c>
      <c r="G162" t="s">
        <v>9</v>
      </c>
      <c r="H162" t="s">
        <v>12</v>
      </c>
      <c r="I162" t="s">
        <v>11</v>
      </c>
      <c r="J162" t="s">
        <v>11</v>
      </c>
      <c r="K162" t="s">
        <v>11</v>
      </c>
    </row>
    <row r="163" spans="1:11" x14ac:dyDescent="0.25">
      <c r="A163" t="s">
        <v>27</v>
      </c>
      <c r="B163" t="s">
        <v>7</v>
      </c>
      <c r="C163">
        <v>3</v>
      </c>
      <c r="D163">
        <v>2</v>
      </c>
      <c r="E163">
        <v>90000</v>
      </c>
      <c r="F163" t="s">
        <v>10</v>
      </c>
      <c r="G163" t="s">
        <v>9</v>
      </c>
      <c r="H163" t="s">
        <v>12</v>
      </c>
      <c r="I163" t="s">
        <v>12</v>
      </c>
      <c r="J163" t="s">
        <v>11</v>
      </c>
      <c r="K163" t="s">
        <v>11</v>
      </c>
    </row>
    <row r="164" spans="1:11" x14ac:dyDescent="0.25">
      <c r="A164" t="s">
        <v>27</v>
      </c>
      <c r="B164" t="s">
        <v>7</v>
      </c>
      <c r="C164">
        <v>1</v>
      </c>
      <c r="D164">
        <v>1</v>
      </c>
      <c r="E164">
        <v>140000</v>
      </c>
      <c r="F164" t="s">
        <v>9</v>
      </c>
      <c r="G164" t="s">
        <v>9</v>
      </c>
      <c r="H164" t="s">
        <v>11</v>
      </c>
      <c r="I164" t="s">
        <v>11</v>
      </c>
      <c r="J164" t="s">
        <v>11</v>
      </c>
      <c r="K164" t="s">
        <v>11</v>
      </c>
    </row>
    <row r="165" spans="1:11" x14ac:dyDescent="0.25">
      <c r="A165" t="s">
        <v>27</v>
      </c>
      <c r="B165" t="s">
        <v>23</v>
      </c>
      <c r="C165">
        <v>0</v>
      </c>
      <c r="D165">
        <v>1</v>
      </c>
      <c r="E165">
        <v>70000</v>
      </c>
      <c r="F165" t="s">
        <v>10</v>
      </c>
      <c r="G165" t="s">
        <v>9</v>
      </c>
      <c r="H165" t="s">
        <v>12</v>
      </c>
      <c r="I165" t="s">
        <v>11</v>
      </c>
      <c r="J165" t="s">
        <v>11</v>
      </c>
      <c r="K165" t="s">
        <v>11</v>
      </c>
    </row>
    <row r="166" spans="1:11" x14ac:dyDescent="0.25">
      <c r="A166" t="s">
        <v>27</v>
      </c>
      <c r="B166" t="s">
        <v>7</v>
      </c>
      <c r="C166">
        <v>2</v>
      </c>
      <c r="D166">
        <v>2</v>
      </c>
      <c r="E166">
        <v>140000</v>
      </c>
      <c r="F166" t="s">
        <v>10</v>
      </c>
      <c r="G166" t="s">
        <v>9</v>
      </c>
      <c r="H166" t="s">
        <v>12</v>
      </c>
      <c r="I166" t="s">
        <v>11</v>
      </c>
      <c r="J166" t="s">
        <v>11</v>
      </c>
      <c r="K166" t="s">
        <v>11</v>
      </c>
    </row>
    <row r="167" spans="1:11" x14ac:dyDescent="0.25">
      <c r="A167" t="s">
        <v>27</v>
      </c>
      <c r="B167" t="s">
        <v>7</v>
      </c>
      <c r="C167">
        <v>2</v>
      </c>
      <c r="D167">
        <v>2</v>
      </c>
      <c r="E167">
        <v>168000</v>
      </c>
      <c r="F167" t="s">
        <v>9</v>
      </c>
      <c r="G167" t="s">
        <v>9</v>
      </c>
      <c r="H167" t="s">
        <v>11</v>
      </c>
      <c r="I167" t="s">
        <v>11</v>
      </c>
      <c r="J167" t="s">
        <v>11</v>
      </c>
      <c r="K167" t="s">
        <v>11</v>
      </c>
    </row>
    <row r="168" spans="1:11" x14ac:dyDescent="0.25">
      <c r="A168" t="s">
        <v>27</v>
      </c>
      <c r="B168" t="s">
        <v>7</v>
      </c>
      <c r="C168">
        <v>3</v>
      </c>
      <c r="D168">
        <v>4</v>
      </c>
      <c r="E168">
        <v>90000</v>
      </c>
      <c r="F168" t="s">
        <v>10</v>
      </c>
      <c r="G168" t="s">
        <v>9</v>
      </c>
      <c r="H168" t="s">
        <v>12</v>
      </c>
      <c r="I168" t="s">
        <v>11</v>
      </c>
      <c r="J168" t="s">
        <v>11</v>
      </c>
      <c r="K168" t="s">
        <v>11</v>
      </c>
    </row>
    <row r="169" spans="1:11" x14ac:dyDescent="0.25">
      <c r="A169" t="s">
        <v>27</v>
      </c>
      <c r="B169" t="s">
        <v>7</v>
      </c>
      <c r="C169">
        <v>3</v>
      </c>
      <c r="D169">
        <v>1</v>
      </c>
      <c r="E169">
        <v>70000</v>
      </c>
      <c r="F169" t="s">
        <v>10</v>
      </c>
      <c r="G169" t="s">
        <v>9</v>
      </c>
      <c r="H169" t="s">
        <v>12</v>
      </c>
      <c r="I169" t="s">
        <v>12</v>
      </c>
      <c r="J169" t="s">
        <v>11</v>
      </c>
      <c r="K169" t="s">
        <v>11</v>
      </c>
    </row>
    <row r="170" spans="1:11" x14ac:dyDescent="0.25">
      <c r="A170" t="s">
        <v>27</v>
      </c>
      <c r="B170" t="s">
        <v>7</v>
      </c>
      <c r="C170">
        <v>3</v>
      </c>
      <c r="D170">
        <v>2</v>
      </c>
      <c r="E170">
        <v>250000</v>
      </c>
      <c r="F170" t="s">
        <v>9</v>
      </c>
      <c r="G170" t="s">
        <v>9</v>
      </c>
      <c r="H170" t="s">
        <v>11</v>
      </c>
      <c r="I170" t="s">
        <v>11</v>
      </c>
      <c r="J170" t="s">
        <v>11</v>
      </c>
      <c r="K170" t="s">
        <v>11</v>
      </c>
    </row>
    <row r="171" spans="1:11" x14ac:dyDescent="0.25">
      <c r="A171" t="s">
        <v>27</v>
      </c>
      <c r="B171" t="s">
        <v>7</v>
      </c>
      <c r="C171">
        <v>1</v>
      </c>
      <c r="D171">
        <v>1</v>
      </c>
      <c r="E171">
        <v>100000</v>
      </c>
      <c r="F171" t="s">
        <v>9</v>
      </c>
      <c r="G171" t="s">
        <v>9</v>
      </c>
      <c r="H171" t="s">
        <v>11</v>
      </c>
      <c r="I171" t="s">
        <v>11</v>
      </c>
      <c r="J171" t="s">
        <v>11</v>
      </c>
      <c r="K171" t="s">
        <v>11</v>
      </c>
    </row>
    <row r="172" spans="1:11" x14ac:dyDescent="0.25">
      <c r="A172" t="s">
        <v>27</v>
      </c>
      <c r="B172" t="s">
        <v>7</v>
      </c>
      <c r="C172">
        <v>2</v>
      </c>
      <c r="D172">
        <v>2</v>
      </c>
      <c r="E172">
        <v>100000</v>
      </c>
      <c r="F172" t="s">
        <v>9</v>
      </c>
      <c r="G172" t="s">
        <v>9</v>
      </c>
      <c r="H172" t="s">
        <v>11</v>
      </c>
      <c r="I172" t="s">
        <v>11</v>
      </c>
      <c r="J172" t="s">
        <v>11</v>
      </c>
      <c r="K172" t="s">
        <v>11</v>
      </c>
    </row>
    <row r="173" spans="1:11" x14ac:dyDescent="0.25">
      <c r="A173" t="s">
        <v>27</v>
      </c>
      <c r="B173" t="s">
        <v>7</v>
      </c>
      <c r="C173">
        <v>3</v>
      </c>
      <c r="D173">
        <v>3</v>
      </c>
      <c r="E173">
        <v>140000</v>
      </c>
      <c r="F173" t="s">
        <v>10</v>
      </c>
      <c r="G173" t="s">
        <v>9</v>
      </c>
      <c r="H173" t="s">
        <v>11</v>
      </c>
      <c r="I173" t="s">
        <v>11</v>
      </c>
      <c r="J173" t="s">
        <v>11</v>
      </c>
      <c r="K173" t="s">
        <v>11</v>
      </c>
    </row>
    <row r="174" spans="1:11" x14ac:dyDescent="0.25">
      <c r="A174" t="s">
        <v>27</v>
      </c>
      <c r="B174" t="s">
        <v>7</v>
      </c>
      <c r="C174">
        <v>4</v>
      </c>
      <c r="D174">
        <v>4</v>
      </c>
      <c r="E174">
        <v>160000</v>
      </c>
      <c r="F174" t="s">
        <v>9</v>
      </c>
      <c r="G174" t="s">
        <v>9</v>
      </c>
      <c r="H174" t="s">
        <v>11</v>
      </c>
      <c r="I174" t="s">
        <v>11</v>
      </c>
      <c r="J174" t="s">
        <v>11</v>
      </c>
      <c r="K174" t="s">
        <v>11</v>
      </c>
    </row>
    <row r="175" spans="1:11" x14ac:dyDescent="0.25">
      <c r="A175" t="s">
        <v>27</v>
      </c>
      <c r="B175" t="s">
        <v>7</v>
      </c>
      <c r="C175">
        <v>2</v>
      </c>
      <c r="D175">
        <v>2</v>
      </c>
      <c r="E175">
        <v>140000</v>
      </c>
      <c r="F175" t="s">
        <v>10</v>
      </c>
      <c r="G175" t="s">
        <v>9</v>
      </c>
      <c r="H175" t="s">
        <v>11</v>
      </c>
      <c r="I175" t="s">
        <v>11</v>
      </c>
      <c r="J175" t="s">
        <v>11</v>
      </c>
      <c r="K175" t="s">
        <v>11</v>
      </c>
    </row>
    <row r="176" spans="1:11" x14ac:dyDescent="0.25">
      <c r="A176" t="s">
        <v>27</v>
      </c>
      <c r="B176" t="s">
        <v>7</v>
      </c>
      <c r="C176">
        <v>3</v>
      </c>
      <c r="D176">
        <v>4</v>
      </c>
      <c r="E176">
        <v>90000</v>
      </c>
      <c r="F176" t="s">
        <v>10</v>
      </c>
      <c r="G176" t="s">
        <v>9</v>
      </c>
      <c r="H176" t="s">
        <v>12</v>
      </c>
      <c r="I176" t="s">
        <v>11</v>
      </c>
      <c r="J176" t="s">
        <v>11</v>
      </c>
      <c r="K176" t="s">
        <v>11</v>
      </c>
    </row>
    <row r="177" spans="1:11" x14ac:dyDescent="0.25">
      <c r="A177" t="s">
        <v>27</v>
      </c>
      <c r="B177" t="s">
        <v>7</v>
      </c>
      <c r="C177">
        <v>2</v>
      </c>
      <c r="D177">
        <v>2</v>
      </c>
      <c r="E177">
        <v>180000</v>
      </c>
      <c r="F177" t="s">
        <v>9</v>
      </c>
      <c r="G177" t="s">
        <v>9</v>
      </c>
      <c r="H177" t="s">
        <v>11</v>
      </c>
      <c r="I177" t="s">
        <v>11</v>
      </c>
      <c r="J177" t="s">
        <v>11</v>
      </c>
      <c r="K177" t="s">
        <v>11</v>
      </c>
    </row>
    <row r="178" spans="1:11" x14ac:dyDescent="0.25">
      <c r="A178" t="s">
        <v>27</v>
      </c>
      <c r="B178" t="s">
        <v>7</v>
      </c>
      <c r="C178">
        <v>3</v>
      </c>
      <c r="D178">
        <v>4</v>
      </c>
      <c r="E178">
        <v>130000</v>
      </c>
      <c r="F178" t="s">
        <v>10</v>
      </c>
      <c r="G178" t="s">
        <v>9</v>
      </c>
      <c r="H178" t="s">
        <v>11</v>
      </c>
      <c r="I178" t="s">
        <v>11</v>
      </c>
      <c r="J178" t="s">
        <v>11</v>
      </c>
      <c r="K178" t="s">
        <v>11</v>
      </c>
    </row>
    <row r="179" spans="1:11" x14ac:dyDescent="0.25">
      <c r="A179" t="s">
        <v>28</v>
      </c>
      <c r="B179" t="s">
        <v>7</v>
      </c>
      <c r="C179">
        <v>3</v>
      </c>
      <c r="D179">
        <v>2</v>
      </c>
      <c r="E179">
        <v>105000</v>
      </c>
      <c r="F179" t="s">
        <v>10</v>
      </c>
      <c r="G179" t="s">
        <v>9</v>
      </c>
      <c r="H179" t="s">
        <v>11</v>
      </c>
      <c r="I179" t="s">
        <v>11</v>
      </c>
      <c r="J179" t="s">
        <v>11</v>
      </c>
      <c r="K179" t="s">
        <v>11</v>
      </c>
    </row>
    <row r="180" spans="1:11" x14ac:dyDescent="0.25">
      <c r="A180" t="s">
        <v>28</v>
      </c>
      <c r="B180" t="s">
        <v>7</v>
      </c>
      <c r="C180">
        <v>3</v>
      </c>
      <c r="D180">
        <v>2</v>
      </c>
      <c r="E180">
        <v>85000</v>
      </c>
      <c r="F180" t="s">
        <v>10</v>
      </c>
      <c r="G180" t="s">
        <v>9</v>
      </c>
      <c r="H180" t="s">
        <v>11</v>
      </c>
      <c r="I180" t="s">
        <v>11</v>
      </c>
      <c r="J180" t="s">
        <v>11</v>
      </c>
      <c r="K180" t="s">
        <v>11</v>
      </c>
    </row>
    <row r="181" spans="1:11" x14ac:dyDescent="0.25">
      <c r="A181" t="s">
        <v>28</v>
      </c>
      <c r="B181" t="s">
        <v>7</v>
      </c>
      <c r="C181">
        <v>2</v>
      </c>
      <c r="D181">
        <v>2</v>
      </c>
      <c r="E181">
        <v>90000</v>
      </c>
      <c r="F181" t="s">
        <v>10</v>
      </c>
      <c r="G181" t="s">
        <v>9</v>
      </c>
      <c r="H181" t="s">
        <v>11</v>
      </c>
      <c r="I181" t="s">
        <v>11</v>
      </c>
      <c r="J181" t="s">
        <v>11</v>
      </c>
      <c r="K181" t="s">
        <v>11</v>
      </c>
    </row>
    <row r="182" spans="1:11" x14ac:dyDescent="0.25">
      <c r="A182" t="s">
        <v>28</v>
      </c>
      <c r="B182" t="s">
        <v>7</v>
      </c>
      <c r="C182">
        <v>1</v>
      </c>
      <c r="D182">
        <v>1</v>
      </c>
      <c r="E182">
        <v>75000</v>
      </c>
      <c r="F182" t="s">
        <v>10</v>
      </c>
      <c r="G182" t="s">
        <v>9</v>
      </c>
      <c r="H182" t="s">
        <v>11</v>
      </c>
      <c r="I182" t="s">
        <v>11</v>
      </c>
      <c r="J182" t="s">
        <v>11</v>
      </c>
      <c r="K182" t="s">
        <v>11</v>
      </c>
    </row>
    <row r="183" spans="1:11" x14ac:dyDescent="0.25">
      <c r="A183" t="s">
        <v>28</v>
      </c>
      <c r="B183" t="s">
        <v>7</v>
      </c>
      <c r="C183">
        <v>2</v>
      </c>
      <c r="D183">
        <v>2</v>
      </c>
      <c r="E183">
        <v>90000</v>
      </c>
      <c r="F183" t="s">
        <v>11</v>
      </c>
      <c r="G183" t="s">
        <v>9</v>
      </c>
      <c r="H183" t="s">
        <v>11</v>
      </c>
      <c r="I183" t="s">
        <v>11</v>
      </c>
      <c r="J183" t="s">
        <v>11</v>
      </c>
      <c r="K183" t="s">
        <v>11</v>
      </c>
    </row>
    <row r="184" spans="1:11" x14ac:dyDescent="0.25">
      <c r="A184" t="s">
        <v>28</v>
      </c>
      <c r="B184" t="s">
        <v>7</v>
      </c>
      <c r="C184">
        <v>2</v>
      </c>
      <c r="D184">
        <v>2</v>
      </c>
      <c r="E184">
        <v>70000</v>
      </c>
      <c r="F184" t="s">
        <v>10</v>
      </c>
      <c r="G184" t="s">
        <v>9</v>
      </c>
      <c r="H184" t="s">
        <v>12</v>
      </c>
      <c r="I184" t="s">
        <v>11</v>
      </c>
      <c r="J184" t="s">
        <v>11</v>
      </c>
      <c r="K184" t="s">
        <v>11</v>
      </c>
    </row>
    <row r="185" spans="1:11" x14ac:dyDescent="0.25">
      <c r="A185" t="s">
        <v>28</v>
      </c>
      <c r="B185" t="s">
        <v>7</v>
      </c>
      <c r="C185">
        <v>2</v>
      </c>
      <c r="D185">
        <v>2</v>
      </c>
      <c r="E185">
        <v>90000</v>
      </c>
      <c r="F185" t="s">
        <v>10</v>
      </c>
      <c r="G185" t="s">
        <v>9</v>
      </c>
      <c r="H185" t="s">
        <v>11</v>
      </c>
      <c r="I185" t="s">
        <v>11</v>
      </c>
      <c r="J185" t="s">
        <v>11</v>
      </c>
      <c r="K185" t="s">
        <v>11</v>
      </c>
    </row>
    <row r="186" spans="1:11" x14ac:dyDescent="0.25">
      <c r="A186" t="s">
        <v>28</v>
      </c>
      <c r="B186" t="s">
        <v>7</v>
      </c>
      <c r="C186">
        <v>3</v>
      </c>
      <c r="D186">
        <v>2</v>
      </c>
      <c r="E186">
        <v>100000</v>
      </c>
      <c r="F186" t="s">
        <v>10</v>
      </c>
      <c r="G186" t="s">
        <v>9</v>
      </c>
      <c r="H186" t="s">
        <v>12</v>
      </c>
      <c r="I186" t="s">
        <v>11</v>
      </c>
      <c r="J186" t="s">
        <v>11</v>
      </c>
      <c r="K186" t="s">
        <v>11</v>
      </c>
    </row>
    <row r="187" spans="1:11" x14ac:dyDescent="0.25">
      <c r="A187" t="s">
        <v>29</v>
      </c>
      <c r="B187" t="s">
        <v>7</v>
      </c>
      <c r="C187">
        <v>1</v>
      </c>
      <c r="D187">
        <v>1</v>
      </c>
      <c r="E187">
        <v>47000</v>
      </c>
      <c r="F187" t="s">
        <v>10</v>
      </c>
      <c r="G187" t="s">
        <v>11</v>
      </c>
      <c r="H187" t="s">
        <v>12</v>
      </c>
      <c r="I187" t="s">
        <v>12</v>
      </c>
      <c r="J187" t="s">
        <v>11</v>
      </c>
      <c r="K187" t="s">
        <v>11</v>
      </c>
    </row>
    <row r="188" spans="1:11" x14ac:dyDescent="0.25">
      <c r="A188" t="s">
        <v>29</v>
      </c>
      <c r="B188" t="s">
        <v>7</v>
      </c>
      <c r="C188">
        <v>3</v>
      </c>
      <c r="D188">
        <v>3</v>
      </c>
      <c r="E188">
        <v>90000</v>
      </c>
      <c r="F188" t="s">
        <v>12</v>
      </c>
      <c r="G188" t="s">
        <v>11</v>
      </c>
      <c r="H188" t="s">
        <v>12</v>
      </c>
      <c r="I188" t="s">
        <v>12</v>
      </c>
      <c r="J188" t="s">
        <v>11</v>
      </c>
      <c r="K188" t="s">
        <v>11</v>
      </c>
    </row>
    <row r="189" spans="1:11" x14ac:dyDescent="0.25">
      <c r="A189" t="s">
        <v>29</v>
      </c>
      <c r="B189" t="s">
        <v>14</v>
      </c>
      <c r="C189">
        <v>4</v>
      </c>
      <c r="D189">
        <v>4</v>
      </c>
      <c r="E189">
        <v>60000</v>
      </c>
      <c r="F189" t="s">
        <v>12</v>
      </c>
      <c r="G189" t="s">
        <v>11</v>
      </c>
      <c r="H189" t="s">
        <v>12</v>
      </c>
      <c r="I189" t="s">
        <v>12</v>
      </c>
      <c r="J189" t="s">
        <v>11</v>
      </c>
      <c r="K189" t="s">
        <v>11</v>
      </c>
    </row>
    <row r="190" spans="1:11" x14ac:dyDescent="0.25">
      <c r="A190" t="s">
        <v>29</v>
      </c>
      <c r="B190" t="s">
        <v>7</v>
      </c>
      <c r="C190">
        <v>2</v>
      </c>
      <c r="D190">
        <v>3</v>
      </c>
      <c r="E190">
        <v>180000</v>
      </c>
      <c r="F190" t="s">
        <v>11</v>
      </c>
      <c r="G190" t="s">
        <v>11</v>
      </c>
      <c r="H190" t="s">
        <v>11</v>
      </c>
      <c r="I190" t="s">
        <v>11</v>
      </c>
      <c r="J190" t="s">
        <v>11</v>
      </c>
      <c r="K190" t="s">
        <v>11</v>
      </c>
    </row>
    <row r="191" spans="1:11" x14ac:dyDescent="0.25">
      <c r="A191" t="s">
        <v>29</v>
      </c>
      <c r="B191" t="s">
        <v>7</v>
      </c>
      <c r="C191">
        <v>2</v>
      </c>
      <c r="D191">
        <v>2</v>
      </c>
      <c r="E191">
        <v>66500</v>
      </c>
      <c r="F191" t="s">
        <v>12</v>
      </c>
      <c r="G191" t="s">
        <v>11</v>
      </c>
      <c r="H191" t="s">
        <v>12</v>
      </c>
      <c r="I191" t="s">
        <v>12</v>
      </c>
      <c r="J191" t="s">
        <v>11</v>
      </c>
      <c r="K191" t="s">
        <v>11</v>
      </c>
    </row>
    <row r="192" spans="1:11" x14ac:dyDescent="0.25">
      <c r="A192" t="s">
        <v>29</v>
      </c>
      <c r="B192" t="s">
        <v>7</v>
      </c>
      <c r="C192">
        <v>3</v>
      </c>
      <c r="D192">
        <v>2</v>
      </c>
      <c r="E192">
        <v>110000</v>
      </c>
      <c r="F192" t="s">
        <v>11</v>
      </c>
      <c r="G192" t="s">
        <v>11</v>
      </c>
      <c r="H192" t="s">
        <v>12</v>
      </c>
      <c r="I192" t="s">
        <v>12</v>
      </c>
      <c r="J192" t="s">
        <v>11</v>
      </c>
      <c r="K192" t="s">
        <v>11</v>
      </c>
    </row>
    <row r="193" spans="1:11" x14ac:dyDescent="0.25">
      <c r="A193" t="s">
        <v>29</v>
      </c>
      <c r="B193" t="s">
        <v>7</v>
      </c>
      <c r="C193">
        <v>2</v>
      </c>
      <c r="D193">
        <v>1</v>
      </c>
      <c r="E193">
        <v>48000</v>
      </c>
      <c r="F193" t="s">
        <v>12</v>
      </c>
      <c r="G193" t="s">
        <v>9</v>
      </c>
      <c r="H193" t="s">
        <v>12</v>
      </c>
      <c r="I193" t="s">
        <v>12</v>
      </c>
      <c r="J193" t="s">
        <v>11</v>
      </c>
      <c r="K193" t="s">
        <v>11</v>
      </c>
    </row>
    <row r="194" spans="1:11" x14ac:dyDescent="0.25">
      <c r="A194" t="s">
        <v>29</v>
      </c>
      <c r="B194" t="s">
        <v>7</v>
      </c>
      <c r="C194">
        <v>2</v>
      </c>
      <c r="D194">
        <v>2</v>
      </c>
      <c r="E194">
        <v>50000</v>
      </c>
      <c r="F194" t="s">
        <v>12</v>
      </c>
      <c r="G194" t="s">
        <v>9</v>
      </c>
      <c r="H194" t="s">
        <v>12</v>
      </c>
      <c r="I194" t="s">
        <v>12</v>
      </c>
      <c r="J194" t="s">
        <v>11</v>
      </c>
      <c r="K194" t="s">
        <v>11</v>
      </c>
    </row>
    <row r="195" spans="1:11" x14ac:dyDescent="0.25">
      <c r="A195" t="s">
        <v>29</v>
      </c>
      <c r="B195" t="s">
        <v>15</v>
      </c>
      <c r="C195">
        <v>1</v>
      </c>
      <c r="D195">
        <v>2</v>
      </c>
      <c r="E195">
        <v>37000</v>
      </c>
      <c r="F195" t="s">
        <v>10</v>
      </c>
      <c r="G195" t="s">
        <v>9</v>
      </c>
      <c r="H195" t="s">
        <v>12</v>
      </c>
      <c r="I195" t="s">
        <v>12</v>
      </c>
      <c r="J195" t="s">
        <v>11</v>
      </c>
      <c r="K195" t="s">
        <v>11</v>
      </c>
    </row>
    <row r="196" spans="1:11" x14ac:dyDescent="0.25">
      <c r="A196" t="s">
        <v>29</v>
      </c>
      <c r="B196" t="s">
        <v>23</v>
      </c>
      <c r="C196">
        <v>1</v>
      </c>
      <c r="D196">
        <v>1</v>
      </c>
      <c r="E196">
        <v>85000</v>
      </c>
      <c r="F196" t="s">
        <v>11</v>
      </c>
      <c r="G196" t="s">
        <v>9</v>
      </c>
      <c r="H196" t="s">
        <v>12</v>
      </c>
      <c r="I196" t="s">
        <v>12</v>
      </c>
      <c r="J196" t="s">
        <v>11</v>
      </c>
      <c r="K196" t="s">
        <v>11</v>
      </c>
    </row>
    <row r="197" spans="1:11" x14ac:dyDescent="0.25">
      <c r="A197" t="s">
        <v>29</v>
      </c>
      <c r="B197" t="s">
        <v>7</v>
      </c>
      <c r="C197">
        <v>3</v>
      </c>
      <c r="D197">
        <v>3</v>
      </c>
      <c r="E197">
        <v>85000</v>
      </c>
      <c r="F197" t="s">
        <v>10</v>
      </c>
      <c r="G197" t="s">
        <v>9</v>
      </c>
      <c r="H197" t="s">
        <v>12</v>
      </c>
      <c r="I197" t="s">
        <v>11</v>
      </c>
      <c r="J197" t="s">
        <v>11</v>
      </c>
      <c r="K197" t="s">
        <v>11</v>
      </c>
    </row>
    <row r="198" spans="1:11" x14ac:dyDescent="0.25">
      <c r="A198" t="s">
        <v>29</v>
      </c>
      <c r="B198" t="s">
        <v>7</v>
      </c>
      <c r="C198">
        <v>3</v>
      </c>
      <c r="D198">
        <v>2</v>
      </c>
      <c r="E198">
        <v>60000</v>
      </c>
      <c r="F198" t="s">
        <v>12</v>
      </c>
      <c r="G198" t="s">
        <v>9</v>
      </c>
      <c r="H198" t="s">
        <v>11</v>
      </c>
      <c r="I198" t="s">
        <v>12</v>
      </c>
      <c r="J198" t="s">
        <v>11</v>
      </c>
      <c r="K198" t="s">
        <v>11</v>
      </c>
    </row>
    <row r="199" spans="1:11" x14ac:dyDescent="0.25">
      <c r="A199" t="s">
        <v>29</v>
      </c>
      <c r="B199" t="s">
        <v>7</v>
      </c>
      <c r="C199">
        <v>1</v>
      </c>
      <c r="D199">
        <v>1</v>
      </c>
      <c r="E199">
        <v>50000</v>
      </c>
      <c r="F199" t="s">
        <v>12</v>
      </c>
      <c r="G199" t="s">
        <v>9</v>
      </c>
      <c r="H199" t="s">
        <v>12</v>
      </c>
      <c r="I199" t="s">
        <v>12</v>
      </c>
      <c r="J199" t="s">
        <v>11</v>
      </c>
      <c r="K199" t="s">
        <v>11</v>
      </c>
    </row>
    <row r="200" spans="1:11" x14ac:dyDescent="0.25">
      <c r="A200" t="s">
        <v>29</v>
      </c>
      <c r="B200" t="s">
        <v>7</v>
      </c>
      <c r="C200">
        <v>2</v>
      </c>
      <c r="D200">
        <v>2</v>
      </c>
      <c r="E200">
        <v>165000</v>
      </c>
      <c r="F200" t="s">
        <v>11</v>
      </c>
      <c r="G200" t="s">
        <v>9</v>
      </c>
      <c r="H200" t="s">
        <v>11</v>
      </c>
      <c r="I200" t="s">
        <v>11</v>
      </c>
      <c r="J200" t="s">
        <v>11</v>
      </c>
      <c r="K200" t="s">
        <v>11</v>
      </c>
    </row>
    <row r="201" spans="1:11" x14ac:dyDescent="0.25">
      <c r="A201" t="s">
        <v>29</v>
      </c>
      <c r="B201" t="s">
        <v>7</v>
      </c>
      <c r="C201">
        <v>1</v>
      </c>
      <c r="D201">
        <v>1</v>
      </c>
      <c r="E201">
        <v>45000</v>
      </c>
      <c r="F201" t="s">
        <v>12</v>
      </c>
      <c r="G201" t="s">
        <v>9</v>
      </c>
      <c r="H201" t="s">
        <v>12</v>
      </c>
      <c r="I201" t="s">
        <v>12</v>
      </c>
      <c r="J201" t="s">
        <v>11</v>
      </c>
      <c r="K201" t="s">
        <v>11</v>
      </c>
    </row>
    <row r="202" spans="1:11" x14ac:dyDescent="0.25">
      <c r="A202" t="s">
        <v>29</v>
      </c>
      <c r="B202" t="s">
        <v>7</v>
      </c>
      <c r="C202">
        <v>3</v>
      </c>
      <c r="D202">
        <v>3</v>
      </c>
      <c r="E202">
        <v>100000</v>
      </c>
      <c r="F202" t="s">
        <v>11</v>
      </c>
      <c r="G202" t="s">
        <v>9</v>
      </c>
      <c r="H202" t="s">
        <v>12</v>
      </c>
      <c r="I202" t="s">
        <v>12</v>
      </c>
      <c r="J202" t="s">
        <v>11</v>
      </c>
      <c r="K202" t="s">
        <v>11</v>
      </c>
    </row>
    <row r="203" spans="1:11" x14ac:dyDescent="0.25">
      <c r="A203" t="s">
        <v>29</v>
      </c>
      <c r="B203" t="s">
        <v>7</v>
      </c>
      <c r="C203">
        <v>3</v>
      </c>
      <c r="D203">
        <v>2</v>
      </c>
      <c r="E203">
        <v>60000</v>
      </c>
      <c r="F203" t="s">
        <v>12</v>
      </c>
      <c r="G203" t="s">
        <v>9</v>
      </c>
      <c r="H203" t="s">
        <v>12</v>
      </c>
      <c r="I203" t="s">
        <v>12</v>
      </c>
      <c r="J203" t="s">
        <v>11</v>
      </c>
      <c r="K203" t="s">
        <v>11</v>
      </c>
    </row>
    <row r="204" spans="1:11" x14ac:dyDescent="0.25">
      <c r="A204" t="s">
        <v>29</v>
      </c>
      <c r="B204" t="s">
        <v>7</v>
      </c>
      <c r="C204">
        <v>2</v>
      </c>
      <c r="D204">
        <v>2</v>
      </c>
      <c r="E204">
        <v>50000</v>
      </c>
      <c r="F204" t="s">
        <v>12</v>
      </c>
      <c r="G204" t="s">
        <v>9</v>
      </c>
      <c r="H204" t="s">
        <v>12</v>
      </c>
      <c r="I204" t="s">
        <v>12</v>
      </c>
      <c r="J204" t="s">
        <v>11</v>
      </c>
      <c r="K204" t="s">
        <v>11</v>
      </c>
    </row>
    <row r="205" spans="1:11" x14ac:dyDescent="0.25">
      <c r="A205" t="s">
        <v>29</v>
      </c>
      <c r="B205" t="s">
        <v>7</v>
      </c>
      <c r="C205">
        <v>3</v>
      </c>
      <c r="D205">
        <v>2</v>
      </c>
      <c r="E205">
        <v>60000</v>
      </c>
      <c r="F205" t="s">
        <v>12</v>
      </c>
      <c r="G205" t="s">
        <v>9</v>
      </c>
      <c r="H205" t="s">
        <v>12</v>
      </c>
      <c r="I205" t="s">
        <v>12</v>
      </c>
      <c r="J205" t="s">
        <v>11</v>
      </c>
      <c r="K205" t="s">
        <v>11</v>
      </c>
    </row>
    <row r="206" spans="1:11" x14ac:dyDescent="0.25">
      <c r="A206" t="s">
        <v>29</v>
      </c>
      <c r="B206" t="s">
        <v>7</v>
      </c>
      <c r="C206">
        <v>2</v>
      </c>
      <c r="D206">
        <v>2</v>
      </c>
      <c r="E206">
        <v>150000</v>
      </c>
      <c r="F206" t="s">
        <v>11</v>
      </c>
      <c r="G206" t="s">
        <v>9</v>
      </c>
      <c r="H206" t="s">
        <v>11</v>
      </c>
      <c r="I206" t="s">
        <v>11</v>
      </c>
      <c r="J206" t="s">
        <v>11</v>
      </c>
      <c r="K206" t="s">
        <v>11</v>
      </c>
    </row>
    <row r="207" spans="1:11" x14ac:dyDescent="0.25">
      <c r="A207" t="s">
        <v>29</v>
      </c>
      <c r="B207" t="s">
        <v>15</v>
      </c>
      <c r="C207">
        <v>3</v>
      </c>
      <c r="D207">
        <v>2</v>
      </c>
      <c r="E207">
        <v>250000</v>
      </c>
      <c r="F207" t="s">
        <v>12</v>
      </c>
      <c r="G207" t="s">
        <v>9</v>
      </c>
      <c r="H207" t="s">
        <v>12</v>
      </c>
      <c r="I207" t="s">
        <v>12</v>
      </c>
      <c r="J207" t="s">
        <v>12</v>
      </c>
      <c r="K207" t="s">
        <v>12</v>
      </c>
    </row>
    <row r="208" spans="1:11" x14ac:dyDescent="0.25">
      <c r="A208" t="s">
        <v>29</v>
      </c>
      <c r="B208" t="s">
        <v>7</v>
      </c>
      <c r="C208">
        <v>2</v>
      </c>
      <c r="D208">
        <v>2</v>
      </c>
      <c r="E208">
        <v>60000</v>
      </c>
      <c r="F208" t="s">
        <v>12</v>
      </c>
      <c r="G208" t="s">
        <v>9</v>
      </c>
      <c r="H208" t="s">
        <v>12</v>
      </c>
      <c r="I208" t="s">
        <v>12</v>
      </c>
      <c r="J208" t="s">
        <v>12</v>
      </c>
      <c r="K208" t="s">
        <v>11</v>
      </c>
    </row>
    <row r="209" spans="1:11" x14ac:dyDescent="0.25">
      <c r="A209" t="s">
        <v>29</v>
      </c>
      <c r="B209" t="s">
        <v>7</v>
      </c>
      <c r="C209">
        <v>2</v>
      </c>
      <c r="D209">
        <v>2</v>
      </c>
      <c r="E209">
        <v>50000</v>
      </c>
      <c r="F209" t="s">
        <v>12</v>
      </c>
      <c r="G209" t="s">
        <v>9</v>
      </c>
      <c r="H209" t="s">
        <v>12</v>
      </c>
      <c r="I209" t="s">
        <v>12</v>
      </c>
      <c r="J209" t="s">
        <v>11</v>
      </c>
      <c r="K209" t="s">
        <v>11</v>
      </c>
    </row>
    <row r="210" spans="1:11" x14ac:dyDescent="0.25">
      <c r="A210" t="s">
        <v>29</v>
      </c>
      <c r="B210" t="s">
        <v>23</v>
      </c>
      <c r="C210">
        <v>1</v>
      </c>
      <c r="D210">
        <v>1</v>
      </c>
      <c r="E210">
        <v>40000</v>
      </c>
      <c r="F210" t="s">
        <v>12</v>
      </c>
      <c r="G210" t="s">
        <v>9</v>
      </c>
      <c r="H210" t="s">
        <v>12</v>
      </c>
      <c r="I210" t="s">
        <v>12</v>
      </c>
      <c r="J210" t="s">
        <v>11</v>
      </c>
      <c r="K210" t="s">
        <v>11</v>
      </c>
    </row>
    <row r="211" spans="1:11" x14ac:dyDescent="0.25">
      <c r="A211" t="s">
        <v>29</v>
      </c>
      <c r="B211" t="s">
        <v>7</v>
      </c>
      <c r="C211">
        <v>3</v>
      </c>
      <c r="D211">
        <v>2</v>
      </c>
      <c r="E211">
        <v>90000</v>
      </c>
      <c r="F211" t="s">
        <v>9</v>
      </c>
      <c r="G211" t="s">
        <v>9</v>
      </c>
      <c r="H211" t="s">
        <v>12</v>
      </c>
      <c r="I211" t="s">
        <v>12</v>
      </c>
      <c r="J211" t="s">
        <v>11</v>
      </c>
      <c r="K211" t="s">
        <v>11</v>
      </c>
    </row>
    <row r="212" spans="1:11" x14ac:dyDescent="0.25">
      <c r="A212" t="s">
        <v>30</v>
      </c>
      <c r="B212" t="s">
        <v>7</v>
      </c>
      <c r="C212">
        <v>2</v>
      </c>
      <c r="D212">
        <v>3</v>
      </c>
      <c r="E212">
        <v>99000</v>
      </c>
      <c r="F212" t="s">
        <v>12</v>
      </c>
      <c r="G212" t="s">
        <v>9</v>
      </c>
      <c r="H212" t="s">
        <v>11</v>
      </c>
      <c r="I212" t="s">
        <v>11</v>
      </c>
      <c r="J212" t="s">
        <v>11</v>
      </c>
      <c r="K212" t="s">
        <v>11</v>
      </c>
    </row>
    <row r="213" spans="1:11" x14ac:dyDescent="0.25">
      <c r="A213" t="s">
        <v>30</v>
      </c>
      <c r="B213" t="s">
        <v>7</v>
      </c>
      <c r="C213">
        <v>2</v>
      </c>
      <c r="D213">
        <v>2</v>
      </c>
      <c r="E213">
        <v>50000</v>
      </c>
      <c r="G213" t="s">
        <v>9</v>
      </c>
      <c r="H213" t="s">
        <v>11</v>
      </c>
      <c r="I213" t="s">
        <v>11</v>
      </c>
      <c r="J213" t="s">
        <v>11</v>
      </c>
      <c r="K213" t="s">
        <v>11</v>
      </c>
    </row>
    <row r="214" spans="1:11" x14ac:dyDescent="0.25">
      <c r="A214" t="s">
        <v>30</v>
      </c>
      <c r="B214" t="s">
        <v>7</v>
      </c>
      <c r="C214">
        <v>1</v>
      </c>
      <c r="D214">
        <v>1</v>
      </c>
      <c r="E214">
        <v>38000</v>
      </c>
      <c r="F214" t="s">
        <v>12</v>
      </c>
      <c r="G214" t="s">
        <v>9</v>
      </c>
      <c r="H214" t="s">
        <v>11</v>
      </c>
      <c r="I214" t="s">
        <v>11</v>
      </c>
      <c r="J214" t="s">
        <v>11</v>
      </c>
      <c r="K214" t="s">
        <v>11</v>
      </c>
    </row>
    <row r="215" spans="1:11" x14ac:dyDescent="0.25">
      <c r="A215" t="s">
        <v>30</v>
      </c>
      <c r="B215" t="s">
        <v>7</v>
      </c>
      <c r="C215">
        <v>2</v>
      </c>
      <c r="D215">
        <v>2</v>
      </c>
      <c r="E215">
        <v>50000</v>
      </c>
      <c r="F215" t="s">
        <v>10</v>
      </c>
      <c r="G215" t="s">
        <v>9</v>
      </c>
      <c r="H215" t="s">
        <v>11</v>
      </c>
      <c r="I215" t="s">
        <v>11</v>
      </c>
      <c r="J215" t="s">
        <v>11</v>
      </c>
      <c r="K215" t="s">
        <v>11</v>
      </c>
    </row>
    <row r="216" spans="1:11" x14ac:dyDescent="0.25">
      <c r="A216" t="s">
        <v>30</v>
      </c>
      <c r="B216" t="s">
        <v>7</v>
      </c>
      <c r="C216">
        <v>1</v>
      </c>
      <c r="D216">
        <v>1</v>
      </c>
      <c r="E216">
        <v>38000</v>
      </c>
      <c r="F216" t="s">
        <v>10</v>
      </c>
      <c r="G216" t="s">
        <v>9</v>
      </c>
      <c r="H216" t="s">
        <v>11</v>
      </c>
      <c r="I216" t="s">
        <v>11</v>
      </c>
      <c r="J216" t="s">
        <v>11</v>
      </c>
      <c r="K216" t="s">
        <v>11</v>
      </c>
    </row>
    <row r="217" spans="1:11" x14ac:dyDescent="0.25">
      <c r="A217" t="s">
        <v>30</v>
      </c>
      <c r="B217" t="s">
        <v>7</v>
      </c>
      <c r="C217">
        <v>2</v>
      </c>
      <c r="D217">
        <v>2</v>
      </c>
      <c r="E217">
        <v>110000</v>
      </c>
      <c r="F217" t="s">
        <v>10</v>
      </c>
      <c r="G217" t="s">
        <v>9</v>
      </c>
      <c r="H217" t="s">
        <v>11</v>
      </c>
      <c r="I217" t="s">
        <v>11</v>
      </c>
      <c r="J217" t="s">
        <v>11</v>
      </c>
      <c r="K217" t="s">
        <v>11</v>
      </c>
    </row>
    <row r="218" spans="1:11" x14ac:dyDescent="0.25">
      <c r="A218" t="s">
        <v>30</v>
      </c>
      <c r="B218" t="s">
        <v>7</v>
      </c>
      <c r="C218">
        <v>2</v>
      </c>
      <c r="D218">
        <v>2</v>
      </c>
      <c r="E218">
        <v>110000</v>
      </c>
      <c r="F218" t="s">
        <v>10</v>
      </c>
      <c r="G218" t="s">
        <v>9</v>
      </c>
      <c r="H218" t="s">
        <v>11</v>
      </c>
      <c r="I218" t="s">
        <v>11</v>
      </c>
      <c r="J218" t="s">
        <v>11</v>
      </c>
      <c r="K218" t="s">
        <v>11</v>
      </c>
    </row>
    <row r="219" spans="1:11" x14ac:dyDescent="0.25">
      <c r="A219" t="s">
        <v>30</v>
      </c>
      <c r="B219" t="s">
        <v>7</v>
      </c>
      <c r="C219">
        <v>2</v>
      </c>
      <c r="D219">
        <v>1</v>
      </c>
      <c r="E219">
        <v>94000</v>
      </c>
      <c r="F219" t="s">
        <v>10</v>
      </c>
      <c r="G219" t="s">
        <v>9</v>
      </c>
      <c r="H219" t="s">
        <v>11</v>
      </c>
      <c r="I219" t="s">
        <v>11</v>
      </c>
      <c r="J219" t="s">
        <v>11</v>
      </c>
      <c r="K219" t="s">
        <v>11</v>
      </c>
    </row>
    <row r="220" spans="1:11" x14ac:dyDescent="0.25">
      <c r="A220" t="s">
        <v>30</v>
      </c>
      <c r="B220" t="s">
        <v>7</v>
      </c>
      <c r="C220">
        <v>3</v>
      </c>
      <c r="D220">
        <v>2</v>
      </c>
      <c r="E220">
        <v>120000</v>
      </c>
      <c r="F220" t="s">
        <v>10</v>
      </c>
      <c r="G220" t="s">
        <v>9</v>
      </c>
      <c r="H220" t="s">
        <v>11</v>
      </c>
      <c r="I220" t="s">
        <v>11</v>
      </c>
      <c r="J220" t="s">
        <v>11</v>
      </c>
      <c r="K220" t="s">
        <v>11</v>
      </c>
    </row>
    <row r="221" spans="1:11" x14ac:dyDescent="0.25">
      <c r="A221" t="s">
        <v>30</v>
      </c>
      <c r="B221" t="s">
        <v>7</v>
      </c>
      <c r="C221">
        <v>2</v>
      </c>
      <c r="D221">
        <v>2</v>
      </c>
      <c r="E221">
        <v>110000</v>
      </c>
      <c r="F221" t="s">
        <v>12</v>
      </c>
      <c r="G221" t="s">
        <v>9</v>
      </c>
      <c r="H221" t="s">
        <v>11</v>
      </c>
      <c r="I221" t="s">
        <v>11</v>
      </c>
      <c r="J221" t="s">
        <v>11</v>
      </c>
      <c r="K221" t="s">
        <v>11</v>
      </c>
    </row>
    <row r="222" spans="1:11" x14ac:dyDescent="0.25">
      <c r="A222" t="s">
        <v>30</v>
      </c>
      <c r="B222" t="s">
        <v>14</v>
      </c>
      <c r="C222">
        <v>4</v>
      </c>
      <c r="D222">
        <v>4</v>
      </c>
      <c r="E222">
        <v>200000</v>
      </c>
      <c r="F222" t="s">
        <v>12</v>
      </c>
      <c r="G222" t="s">
        <v>9</v>
      </c>
      <c r="H222" t="s">
        <v>11</v>
      </c>
      <c r="I222" t="s">
        <v>11</v>
      </c>
      <c r="J222" t="s">
        <v>11</v>
      </c>
      <c r="K222" t="s">
        <v>11</v>
      </c>
    </row>
    <row r="223" spans="1:11" x14ac:dyDescent="0.25">
      <c r="A223" t="s">
        <v>30</v>
      </c>
      <c r="B223" t="s">
        <v>7</v>
      </c>
      <c r="C223">
        <v>2</v>
      </c>
      <c r="D223">
        <v>3</v>
      </c>
      <c r="E223">
        <v>110000</v>
      </c>
      <c r="F223" t="s">
        <v>31</v>
      </c>
      <c r="G223" t="s">
        <v>9</v>
      </c>
      <c r="H223" t="s">
        <v>11</v>
      </c>
      <c r="I223" t="s">
        <v>11</v>
      </c>
      <c r="J223" t="s">
        <v>11</v>
      </c>
      <c r="K223" t="s">
        <v>11</v>
      </c>
    </row>
    <row r="224" spans="1:11" x14ac:dyDescent="0.25">
      <c r="A224" t="s">
        <v>30</v>
      </c>
      <c r="B224" t="s">
        <v>7</v>
      </c>
      <c r="C224">
        <v>2</v>
      </c>
      <c r="D224">
        <v>2</v>
      </c>
      <c r="E224">
        <v>100000</v>
      </c>
      <c r="F224" t="s">
        <v>12</v>
      </c>
      <c r="G224" t="s">
        <v>9</v>
      </c>
      <c r="H224" t="s">
        <v>11</v>
      </c>
      <c r="I224" t="s">
        <v>11</v>
      </c>
      <c r="J224" t="s">
        <v>11</v>
      </c>
      <c r="K224" t="s">
        <v>11</v>
      </c>
    </row>
    <row r="225" spans="1:11" x14ac:dyDescent="0.25">
      <c r="A225" t="s">
        <v>30</v>
      </c>
      <c r="B225" t="s">
        <v>7</v>
      </c>
      <c r="C225">
        <v>2</v>
      </c>
      <c r="D225">
        <v>2</v>
      </c>
      <c r="E225">
        <v>110000</v>
      </c>
      <c r="F225" t="s">
        <v>12</v>
      </c>
      <c r="G225" t="s">
        <v>9</v>
      </c>
      <c r="H225" t="s">
        <v>11</v>
      </c>
      <c r="I225" t="s">
        <v>11</v>
      </c>
      <c r="J225" t="s">
        <v>11</v>
      </c>
      <c r="K225" t="s">
        <v>11</v>
      </c>
    </row>
    <row r="226" spans="1:11" x14ac:dyDescent="0.25">
      <c r="A226" t="s">
        <v>30</v>
      </c>
      <c r="B226" t="s">
        <v>7</v>
      </c>
      <c r="C226">
        <v>1</v>
      </c>
      <c r="D226">
        <v>1</v>
      </c>
      <c r="E226">
        <v>28000</v>
      </c>
      <c r="F226" t="s">
        <v>12</v>
      </c>
      <c r="G226" t="s">
        <v>9</v>
      </c>
      <c r="H226" t="s">
        <v>12</v>
      </c>
      <c r="I226" t="s">
        <v>12</v>
      </c>
      <c r="J226" t="s">
        <v>11</v>
      </c>
      <c r="K226" t="s">
        <v>11</v>
      </c>
    </row>
    <row r="227" spans="1:11" x14ac:dyDescent="0.25">
      <c r="A227" t="s">
        <v>30</v>
      </c>
      <c r="B227" t="s">
        <v>7</v>
      </c>
      <c r="C227">
        <v>2</v>
      </c>
      <c r="D227">
        <v>2</v>
      </c>
      <c r="E227">
        <v>35000</v>
      </c>
      <c r="F227" t="s">
        <v>12</v>
      </c>
      <c r="G227" t="s">
        <v>9</v>
      </c>
      <c r="H227" t="s">
        <v>12</v>
      </c>
      <c r="I227" t="s">
        <v>12</v>
      </c>
      <c r="J227" t="s">
        <v>11</v>
      </c>
      <c r="K227" t="s">
        <v>11</v>
      </c>
    </row>
    <row r="228" spans="1:11" x14ac:dyDescent="0.25">
      <c r="A228" t="s">
        <v>30</v>
      </c>
      <c r="B228" t="s">
        <v>7</v>
      </c>
      <c r="C228">
        <v>1</v>
      </c>
      <c r="D228">
        <v>1</v>
      </c>
      <c r="E228">
        <v>79000</v>
      </c>
      <c r="F228" t="s">
        <v>12</v>
      </c>
      <c r="G228" t="s">
        <v>9</v>
      </c>
      <c r="H228" t="s">
        <v>11</v>
      </c>
      <c r="I228" t="s">
        <v>11</v>
      </c>
      <c r="J228" t="s">
        <v>11</v>
      </c>
      <c r="K228" t="s">
        <v>11</v>
      </c>
    </row>
    <row r="229" spans="1:11" x14ac:dyDescent="0.25">
      <c r="A229" t="s">
        <v>30</v>
      </c>
      <c r="B229" t="s">
        <v>7</v>
      </c>
      <c r="C229">
        <v>2</v>
      </c>
      <c r="D229">
        <v>2</v>
      </c>
      <c r="E229">
        <v>99000</v>
      </c>
      <c r="F229" t="s">
        <v>12</v>
      </c>
      <c r="G229" t="s">
        <v>9</v>
      </c>
      <c r="H229" t="s">
        <v>11</v>
      </c>
      <c r="I229" t="s">
        <v>11</v>
      </c>
      <c r="J229" t="s">
        <v>11</v>
      </c>
      <c r="K229" t="s">
        <v>11</v>
      </c>
    </row>
    <row r="230" spans="1:11" x14ac:dyDescent="0.25">
      <c r="A230" t="s">
        <v>30</v>
      </c>
      <c r="B230" t="s">
        <v>7</v>
      </c>
      <c r="C230">
        <v>3</v>
      </c>
      <c r="D230">
        <v>3</v>
      </c>
      <c r="E230">
        <v>230000</v>
      </c>
      <c r="F230" t="s">
        <v>9</v>
      </c>
      <c r="G230" t="s">
        <v>9</v>
      </c>
      <c r="H230" t="s">
        <v>11</v>
      </c>
      <c r="I230" t="s">
        <v>11</v>
      </c>
      <c r="J230" t="s">
        <v>11</v>
      </c>
      <c r="K230" t="s">
        <v>11</v>
      </c>
    </row>
    <row r="231" spans="1:11" x14ac:dyDescent="0.25">
      <c r="A231" t="s">
        <v>30</v>
      </c>
      <c r="B231" t="s">
        <v>7</v>
      </c>
      <c r="C231">
        <v>3</v>
      </c>
      <c r="D231">
        <v>3</v>
      </c>
      <c r="E231">
        <v>160000</v>
      </c>
      <c r="F231" t="s">
        <v>12</v>
      </c>
      <c r="G231" t="s">
        <v>9</v>
      </c>
      <c r="H231" t="s">
        <v>11</v>
      </c>
      <c r="I231" t="s">
        <v>11</v>
      </c>
      <c r="J231" t="s">
        <v>11</v>
      </c>
      <c r="K231" t="s">
        <v>11</v>
      </c>
    </row>
    <row r="232" spans="1:11" x14ac:dyDescent="0.25">
      <c r="A232" t="s">
        <v>30</v>
      </c>
      <c r="B232" t="s">
        <v>7</v>
      </c>
      <c r="C232">
        <v>1</v>
      </c>
      <c r="D232">
        <v>1</v>
      </c>
      <c r="E232">
        <v>38000</v>
      </c>
      <c r="F232" t="s">
        <v>12</v>
      </c>
      <c r="G232" t="s">
        <v>9</v>
      </c>
      <c r="H232" t="s">
        <v>11</v>
      </c>
      <c r="I232" t="s">
        <v>11</v>
      </c>
      <c r="J232" t="s">
        <v>11</v>
      </c>
      <c r="K232" t="s">
        <v>11</v>
      </c>
    </row>
    <row r="233" spans="1:11" x14ac:dyDescent="0.25">
      <c r="A233" t="s">
        <v>30</v>
      </c>
      <c r="B233" t="s">
        <v>7</v>
      </c>
      <c r="C233">
        <v>3</v>
      </c>
      <c r="D233">
        <v>4</v>
      </c>
      <c r="E233">
        <v>160000</v>
      </c>
      <c r="F233" t="s">
        <v>12</v>
      </c>
      <c r="G233" t="s">
        <v>9</v>
      </c>
      <c r="H233" t="s">
        <v>11</v>
      </c>
      <c r="I233" t="s">
        <v>11</v>
      </c>
      <c r="J233" t="s">
        <v>11</v>
      </c>
      <c r="K233" t="s">
        <v>11</v>
      </c>
    </row>
    <row r="234" spans="1:11" x14ac:dyDescent="0.25">
      <c r="A234" t="s">
        <v>30</v>
      </c>
      <c r="B234" t="s">
        <v>7</v>
      </c>
      <c r="C234">
        <v>3</v>
      </c>
      <c r="D234">
        <v>4</v>
      </c>
      <c r="E234">
        <v>120000</v>
      </c>
      <c r="F234" t="s">
        <v>12</v>
      </c>
      <c r="G234" t="s">
        <v>9</v>
      </c>
      <c r="H234" t="s">
        <v>11</v>
      </c>
      <c r="I234" t="s">
        <v>11</v>
      </c>
      <c r="J234" t="s">
        <v>11</v>
      </c>
      <c r="K234" t="s">
        <v>11</v>
      </c>
    </row>
    <row r="235" spans="1:11" x14ac:dyDescent="0.25">
      <c r="A235" t="s">
        <v>30</v>
      </c>
      <c r="B235" t="s">
        <v>7</v>
      </c>
      <c r="C235">
        <v>3</v>
      </c>
      <c r="D235">
        <v>3</v>
      </c>
      <c r="E235">
        <v>60000</v>
      </c>
      <c r="F235" t="s">
        <v>12</v>
      </c>
      <c r="G235" t="s">
        <v>9</v>
      </c>
      <c r="H235" t="s">
        <v>11</v>
      </c>
      <c r="I235" t="s">
        <v>12</v>
      </c>
      <c r="J235" t="s">
        <v>11</v>
      </c>
      <c r="K235" t="s">
        <v>11</v>
      </c>
    </row>
    <row r="236" spans="1:11" x14ac:dyDescent="0.25">
      <c r="A236" t="s">
        <v>30</v>
      </c>
      <c r="B236" t="s">
        <v>7</v>
      </c>
      <c r="C236">
        <v>2</v>
      </c>
      <c r="D236">
        <v>2</v>
      </c>
      <c r="E236">
        <v>120000</v>
      </c>
      <c r="F236" t="s">
        <v>12</v>
      </c>
      <c r="G236" t="s">
        <v>9</v>
      </c>
      <c r="H236" t="s">
        <v>11</v>
      </c>
      <c r="I236" t="s">
        <v>11</v>
      </c>
      <c r="J236" t="s">
        <v>11</v>
      </c>
      <c r="K236" t="s">
        <v>11</v>
      </c>
    </row>
    <row r="237" spans="1:11" x14ac:dyDescent="0.25">
      <c r="A237" t="s">
        <v>33</v>
      </c>
      <c r="B237" t="s">
        <v>7</v>
      </c>
      <c r="C237">
        <v>1</v>
      </c>
      <c r="D237">
        <v>1</v>
      </c>
      <c r="E237">
        <v>19000</v>
      </c>
      <c r="F237" t="s">
        <v>12</v>
      </c>
      <c r="G237" t="s">
        <v>9</v>
      </c>
      <c r="H237" t="s">
        <v>12</v>
      </c>
      <c r="I237" t="s">
        <v>12</v>
      </c>
      <c r="J237" t="s">
        <v>11</v>
      </c>
      <c r="K237" t="s">
        <v>11</v>
      </c>
    </row>
    <row r="238" spans="1:11" x14ac:dyDescent="0.25">
      <c r="A238" t="s">
        <v>33</v>
      </c>
      <c r="B238" t="s">
        <v>7</v>
      </c>
      <c r="C238">
        <v>3</v>
      </c>
      <c r="D238">
        <v>2</v>
      </c>
      <c r="E238">
        <v>40000</v>
      </c>
      <c r="F238" t="s">
        <v>10</v>
      </c>
      <c r="G238" t="s">
        <v>9</v>
      </c>
      <c r="H238" t="s">
        <v>12</v>
      </c>
      <c r="I238" t="s">
        <v>12</v>
      </c>
      <c r="J238" t="s">
        <v>11</v>
      </c>
      <c r="K238" t="s">
        <v>11</v>
      </c>
    </row>
    <row r="239" spans="1:11" x14ac:dyDescent="0.25">
      <c r="A239" t="s">
        <v>33</v>
      </c>
      <c r="B239" t="s">
        <v>7</v>
      </c>
      <c r="C239">
        <v>3</v>
      </c>
      <c r="D239">
        <v>2</v>
      </c>
      <c r="E239">
        <v>50000</v>
      </c>
      <c r="F239" t="s">
        <v>12</v>
      </c>
      <c r="G239" t="s">
        <v>9</v>
      </c>
      <c r="H239" t="s">
        <v>12</v>
      </c>
      <c r="I239" t="s">
        <v>12</v>
      </c>
      <c r="J239" t="s">
        <v>11</v>
      </c>
      <c r="K239" t="s">
        <v>11</v>
      </c>
    </row>
    <row r="240" spans="1:11" x14ac:dyDescent="0.25">
      <c r="A240" t="s">
        <v>33</v>
      </c>
      <c r="B240" t="s">
        <v>7</v>
      </c>
      <c r="C240">
        <v>3</v>
      </c>
      <c r="D240">
        <v>2</v>
      </c>
      <c r="E240">
        <v>48000</v>
      </c>
      <c r="F240" t="s">
        <v>12</v>
      </c>
      <c r="G240" t="s">
        <v>9</v>
      </c>
      <c r="H240" t="s">
        <v>12</v>
      </c>
      <c r="I240" t="s">
        <v>12</v>
      </c>
      <c r="J240" t="s">
        <v>11</v>
      </c>
      <c r="K240" t="s">
        <v>11</v>
      </c>
    </row>
    <row r="241" spans="1:11" x14ac:dyDescent="0.25">
      <c r="A241" t="s">
        <v>33</v>
      </c>
      <c r="B241" t="s">
        <v>7</v>
      </c>
      <c r="C241">
        <v>4</v>
      </c>
      <c r="D241">
        <v>3</v>
      </c>
      <c r="E241">
        <v>200000</v>
      </c>
      <c r="F241" t="s">
        <v>11</v>
      </c>
      <c r="G241" t="s">
        <v>9</v>
      </c>
      <c r="H241" t="s">
        <v>12</v>
      </c>
      <c r="I241" t="s">
        <v>12</v>
      </c>
      <c r="J241" t="s">
        <v>11</v>
      </c>
      <c r="K241" t="s">
        <v>11</v>
      </c>
    </row>
    <row r="242" spans="1:11" x14ac:dyDescent="0.25">
      <c r="A242" t="s">
        <v>33</v>
      </c>
      <c r="B242" t="s">
        <v>7</v>
      </c>
      <c r="C242">
        <v>1</v>
      </c>
      <c r="D242">
        <v>1</v>
      </c>
      <c r="E242">
        <v>21000</v>
      </c>
      <c r="F242" t="s">
        <v>10</v>
      </c>
      <c r="G242" t="s">
        <v>9</v>
      </c>
      <c r="H242" t="s">
        <v>12</v>
      </c>
      <c r="I242" t="s">
        <v>12</v>
      </c>
      <c r="J242" t="s">
        <v>11</v>
      </c>
      <c r="K242" t="s">
        <v>11</v>
      </c>
    </row>
    <row r="243" spans="1:11" x14ac:dyDescent="0.25">
      <c r="A243" t="s">
        <v>33</v>
      </c>
      <c r="B243" t="s">
        <v>7</v>
      </c>
      <c r="C243">
        <v>2</v>
      </c>
      <c r="D243">
        <v>2</v>
      </c>
      <c r="E243">
        <v>30000</v>
      </c>
      <c r="F243" t="s">
        <v>10</v>
      </c>
      <c r="G243" t="s">
        <v>9</v>
      </c>
      <c r="H243" t="s">
        <v>12</v>
      </c>
      <c r="I243" t="s">
        <v>12</v>
      </c>
      <c r="J243" t="s">
        <v>11</v>
      </c>
      <c r="K243" t="s">
        <v>11</v>
      </c>
    </row>
    <row r="244" spans="1:11" x14ac:dyDescent="0.25">
      <c r="A244" t="s">
        <v>33</v>
      </c>
      <c r="B244" t="s">
        <v>7</v>
      </c>
      <c r="C244">
        <v>2</v>
      </c>
      <c r="D244">
        <v>2</v>
      </c>
      <c r="E244">
        <v>40000</v>
      </c>
      <c r="F244" t="s">
        <v>10</v>
      </c>
      <c r="G244" t="s">
        <v>9</v>
      </c>
      <c r="H244" t="s">
        <v>12</v>
      </c>
      <c r="I244" t="s">
        <v>12</v>
      </c>
      <c r="J244" t="s">
        <v>11</v>
      </c>
      <c r="K244" t="s">
        <v>11</v>
      </c>
    </row>
    <row r="245" spans="1:11" x14ac:dyDescent="0.25">
      <c r="A245" t="s">
        <v>34</v>
      </c>
      <c r="B245" t="s">
        <v>7</v>
      </c>
      <c r="C245">
        <v>2</v>
      </c>
      <c r="D245">
        <v>2</v>
      </c>
      <c r="E245">
        <v>58950</v>
      </c>
      <c r="F245" t="s">
        <v>10</v>
      </c>
      <c r="G245" t="s">
        <v>9</v>
      </c>
      <c r="H245" t="s">
        <v>12</v>
      </c>
      <c r="I245" t="s">
        <v>12</v>
      </c>
      <c r="J245" t="s">
        <v>11</v>
      </c>
      <c r="K245" t="s">
        <v>11</v>
      </c>
    </row>
    <row r="246" spans="1:11" x14ac:dyDescent="0.25">
      <c r="A246" t="s">
        <v>34</v>
      </c>
      <c r="B246" t="s">
        <v>7</v>
      </c>
      <c r="C246">
        <v>4</v>
      </c>
      <c r="D246">
        <v>6</v>
      </c>
      <c r="E246">
        <v>180000</v>
      </c>
      <c r="F246" t="s">
        <v>10</v>
      </c>
      <c r="G246" t="s">
        <v>9</v>
      </c>
      <c r="H246" t="s">
        <v>12</v>
      </c>
      <c r="I246" t="s">
        <v>12</v>
      </c>
      <c r="J246" t="s">
        <v>11</v>
      </c>
      <c r="K246" t="s">
        <v>11</v>
      </c>
    </row>
    <row r="247" spans="1:11" x14ac:dyDescent="0.25">
      <c r="A247" t="s">
        <v>34</v>
      </c>
      <c r="B247" t="s">
        <v>7</v>
      </c>
      <c r="C247">
        <v>1</v>
      </c>
      <c r="D247">
        <v>1</v>
      </c>
      <c r="E247">
        <v>38950</v>
      </c>
      <c r="F247" t="s">
        <v>10</v>
      </c>
      <c r="G247" t="s">
        <v>9</v>
      </c>
      <c r="H247" t="s">
        <v>11</v>
      </c>
      <c r="I247" t="s">
        <v>11</v>
      </c>
      <c r="J247" t="s">
        <v>11</v>
      </c>
      <c r="K247" t="s">
        <v>11</v>
      </c>
    </row>
    <row r="248" spans="1:11" x14ac:dyDescent="0.25">
      <c r="A248" t="s">
        <v>34</v>
      </c>
      <c r="B248" t="s">
        <v>7</v>
      </c>
      <c r="C248">
        <v>2</v>
      </c>
      <c r="D248">
        <v>2</v>
      </c>
      <c r="E248">
        <v>60500</v>
      </c>
      <c r="F248" t="s">
        <v>10</v>
      </c>
      <c r="G248" t="s">
        <v>9</v>
      </c>
      <c r="H248" t="s">
        <v>11</v>
      </c>
      <c r="I248" t="s">
        <v>11</v>
      </c>
      <c r="J248" t="s">
        <v>11</v>
      </c>
      <c r="K248" t="s">
        <v>11</v>
      </c>
    </row>
    <row r="249" spans="1:11" x14ac:dyDescent="0.25">
      <c r="A249" t="s">
        <v>34</v>
      </c>
      <c r="B249" t="s">
        <v>7</v>
      </c>
      <c r="C249">
        <v>2</v>
      </c>
      <c r="D249">
        <v>2</v>
      </c>
      <c r="E249">
        <v>65000</v>
      </c>
      <c r="F249" t="s">
        <v>12</v>
      </c>
      <c r="G249" t="s">
        <v>9</v>
      </c>
      <c r="H249" t="s">
        <v>11</v>
      </c>
      <c r="I249" t="s">
        <v>11</v>
      </c>
      <c r="J249" t="s">
        <v>11</v>
      </c>
      <c r="K249" t="s">
        <v>11</v>
      </c>
    </row>
    <row r="250" spans="1:11" x14ac:dyDescent="0.25">
      <c r="A250" t="s">
        <v>34</v>
      </c>
      <c r="B250" t="s">
        <v>7</v>
      </c>
      <c r="C250">
        <v>2</v>
      </c>
      <c r="D250">
        <v>1</v>
      </c>
      <c r="E250">
        <v>60000</v>
      </c>
      <c r="F250" t="s">
        <v>12</v>
      </c>
      <c r="G250" t="s">
        <v>9</v>
      </c>
      <c r="H250" t="s">
        <v>12</v>
      </c>
      <c r="I250" t="s">
        <v>12</v>
      </c>
      <c r="J250" t="s">
        <v>11</v>
      </c>
      <c r="K250" t="s">
        <v>11</v>
      </c>
    </row>
    <row r="251" spans="1:11" x14ac:dyDescent="0.25">
      <c r="A251" t="s">
        <v>34</v>
      </c>
      <c r="B251" t="s">
        <v>7</v>
      </c>
      <c r="C251">
        <v>3</v>
      </c>
      <c r="D251">
        <v>2</v>
      </c>
      <c r="E251">
        <v>80000</v>
      </c>
      <c r="F251" t="s">
        <v>12</v>
      </c>
      <c r="G251" t="s">
        <v>9</v>
      </c>
      <c r="H251" t="s">
        <v>11</v>
      </c>
      <c r="I251" t="s">
        <v>12</v>
      </c>
      <c r="J251" t="s">
        <v>11</v>
      </c>
      <c r="K251" t="s">
        <v>11</v>
      </c>
    </row>
    <row r="252" spans="1:11" x14ac:dyDescent="0.25">
      <c r="A252" t="s">
        <v>56</v>
      </c>
      <c r="B252" t="s">
        <v>7</v>
      </c>
      <c r="C252">
        <v>2</v>
      </c>
      <c r="D252">
        <v>2</v>
      </c>
      <c r="E252">
        <v>15000</v>
      </c>
      <c r="F252" t="s">
        <v>11</v>
      </c>
      <c r="G252" t="s">
        <v>9</v>
      </c>
      <c r="H252" t="s">
        <v>11</v>
      </c>
      <c r="I252" t="s">
        <v>11</v>
      </c>
      <c r="J252" t="s">
        <v>11</v>
      </c>
      <c r="K252" t="s">
        <v>11</v>
      </c>
    </row>
    <row r="253" spans="1:11" x14ac:dyDescent="0.25">
      <c r="A253" t="s">
        <v>56</v>
      </c>
      <c r="B253" t="s">
        <v>7</v>
      </c>
      <c r="C253">
        <v>3</v>
      </c>
      <c r="D253">
        <v>3</v>
      </c>
      <c r="E253">
        <v>60000</v>
      </c>
      <c r="F253" t="s">
        <v>10</v>
      </c>
      <c r="G253" t="s">
        <v>9</v>
      </c>
      <c r="H253" t="s">
        <v>11</v>
      </c>
      <c r="I253" t="s">
        <v>11</v>
      </c>
      <c r="J253" t="s">
        <v>12</v>
      </c>
      <c r="K253" t="s">
        <v>11</v>
      </c>
    </row>
    <row r="254" spans="1:11" x14ac:dyDescent="0.25">
      <c r="A254" t="s">
        <v>56</v>
      </c>
      <c r="B254" t="s">
        <v>7</v>
      </c>
      <c r="C254">
        <v>2</v>
      </c>
      <c r="D254">
        <v>2</v>
      </c>
      <c r="E254">
        <v>50000</v>
      </c>
      <c r="F254" t="s">
        <v>12</v>
      </c>
      <c r="G254" t="s">
        <v>9</v>
      </c>
      <c r="H254" t="s">
        <v>11</v>
      </c>
      <c r="I254" t="s">
        <v>11</v>
      </c>
      <c r="J254" t="s">
        <v>11</v>
      </c>
      <c r="K254" t="s">
        <v>11</v>
      </c>
    </row>
    <row r="255" spans="1:11" x14ac:dyDescent="0.25">
      <c r="A255" t="s">
        <v>56</v>
      </c>
      <c r="B255" t="s">
        <v>7</v>
      </c>
      <c r="C255">
        <v>2</v>
      </c>
      <c r="D255">
        <v>2</v>
      </c>
      <c r="E255">
        <v>35000</v>
      </c>
      <c r="F255" t="s">
        <v>10</v>
      </c>
      <c r="G255" t="s">
        <v>9</v>
      </c>
      <c r="H255" t="s">
        <v>12</v>
      </c>
      <c r="I255" t="s">
        <v>12</v>
      </c>
      <c r="J255" t="s">
        <v>11</v>
      </c>
      <c r="K255" t="s">
        <v>11</v>
      </c>
    </row>
    <row r="256" spans="1:11" x14ac:dyDescent="0.25">
      <c r="A256" t="s">
        <v>56</v>
      </c>
      <c r="B256" t="s">
        <v>21</v>
      </c>
      <c r="C256">
        <v>4</v>
      </c>
      <c r="D256">
        <v>4</v>
      </c>
      <c r="E256">
        <v>95000</v>
      </c>
      <c r="F256" t="s">
        <v>10</v>
      </c>
      <c r="G256" t="s">
        <v>9</v>
      </c>
      <c r="H256" t="s">
        <v>12</v>
      </c>
      <c r="I256" t="s">
        <v>12</v>
      </c>
      <c r="J256" t="s">
        <v>11</v>
      </c>
      <c r="K256" t="s">
        <v>11</v>
      </c>
    </row>
    <row r="257" spans="1:11" x14ac:dyDescent="0.25">
      <c r="A257" t="s">
        <v>56</v>
      </c>
      <c r="B257" t="s">
        <v>15</v>
      </c>
      <c r="C257">
        <v>6</v>
      </c>
      <c r="D257">
        <v>6</v>
      </c>
      <c r="E257">
        <v>80000</v>
      </c>
      <c r="F257" t="s">
        <v>10</v>
      </c>
      <c r="G257" t="s">
        <v>9</v>
      </c>
      <c r="H257" t="s">
        <v>12</v>
      </c>
      <c r="I257" t="s">
        <v>12</v>
      </c>
      <c r="J257" t="s">
        <v>11</v>
      </c>
      <c r="K257" t="s">
        <v>11</v>
      </c>
    </row>
    <row r="258" spans="1:11" x14ac:dyDescent="0.25">
      <c r="A258" t="s">
        <v>56</v>
      </c>
      <c r="B258" t="s">
        <v>15</v>
      </c>
      <c r="C258">
        <v>5</v>
      </c>
      <c r="D258">
        <v>5</v>
      </c>
      <c r="E258">
        <v>75000</v>
      </c>
      <c r="F258" t="s">
        <v>10</v>
      </c>
      <c r="G258" t="s">
        <v>9</v>
      </c>
      <c r="H258" t="s">
        <v>12</v>
      </c>
      <c r="I258" t="s">
        <v>12</v>
      </c>
      <c r="J258" t="s">
        <v>11</v>
      </c>
      <c r="K258" t="s">
        <v>11</v>
      </c>
    </row>
    <row r="259" spans="1:11" x14ac:dyDescent="0.25">
      <c r="A259" t="s">
        <v>56</v>
      </c>
      <c r="B259" t="s">
        <v>21</v>
      </c>
      <c r="C259">
        <v>5</v>
      </c>
      <c r="D259">
        <v>5</v>
      </c>
      <c r="E259">
        <v>115000</v>
      </c>
      <c r="F259" t="s">
        <v>10</v>
      </c>
      <c r="G259" t="s">
        <v>9</v>
      </c>
      <c r="H259" t="s">
        <v>11</v>
      </c>
      <c r="I259" t="s">
        <v>11</v>
      </c>
      <c r="J259" t="s">
        <v>11</v>
      </c>
      <c r="K259" t="s">
        <v>11</v>
      </c>
    </row>
    <row r="260" spans="1:11" x14ac:dyDescent="0.25">
      <c r="A260" t="s">
        <v>56</v>
      </c>
      <c r="B260" t="s">
        <v>7</v>
      </c>
      <c r="C260">
        <v>2</v>
      </c>
      <c r="D260">
        <v>2</v>
      </c>
      <c r="E260">
        <v>80000</v>
      </c>
      <c r="F260" t="s">
        <v>10</v>
      </c>
      <c r="G260" t="s">
        <v>9</v>
      </c>
      <c r="H260" t="s">
        <v>11</v>
      </c>
      <c r="I260" t="s">
        <v>11</v>
      </c>
      <c r="J260" t="s">
        <v>11</v>
      </c>
      <c r="K260" t="s">
        <v>11</v>
      </c>
    </row>
    <row r="261" spans="1:11" x14ac:dyDescent="0.25">
      <c r="A261" t="s">
        <v>35</v>
      </c>
      <c r="B261" t="s">
        <v>7</v>
      </c>
      <c r="C261">
        <v>1</v>
      </c>
      <c r="D261">
        <v>1</v>
      </c>
      <c r="E261">
        <v>65000</v>
      </c>
      <c r="F261" t="s">
        <v>10</v>
      </c>
      <c r="G261" t="s">
        <v>9</v>
      </c>
      <c r="H261" t="s">
        <v>11</v>
      </c>
      <c r="I261" t="s">
        <v>11</v>
      </c>
      <c r="J261" t="s">
        <v>11</v>
      </c>
      <c r="K261" t="s">
        <v>11</v>
      </c>
    </row>
    <row r="262" spans="1:11" x14ac:dyDescent="0.25">
      <c r="A262" t="s">
        <v>35</v>
      </c>
      <c r="B262" t="s">
        <v>7</v>
      </c>
      <c r="C262">
        <v>3</v>
      </c>
      <c r="D262">
        <v>3</v>
      </c>
      <c r="E262">
        <v>100000</v>
      </c>
      <c r="F262" t="s">
        <v>10</v>
      </c>
      <c r="G262" t="s">
        <v>9</v>
      </c>
      <c r="H262" t="s">
        <v>11</v>
      </c>
      <c r="I262" t="s">
        <v>11</v>
      </c>
      <c r="J262" t="s">
        <v>11</v>
      </c>
      <c r="K262" t="s">
        <v>11</v>
      </c>
    </row>
    <row r="263" spans="1:11" x14ac:dyDescent="0.25">
      <c r="A263" t="s">
        <v>35</v>
      </c>
      <c r="B263" t="s">
        <v>15</v>
      </c>
      <c r="C263">
        <v>4</v>
      </c>
      <c r="D263">
        <v>4</v>
      </c>
      <c r="E263">
        <v>150000</v>
      </c>
      <c r="F263" t="s">
        <v>10</v>
      </c>
      <c r="G263" t="s">
        <v>9</v>
      </c>
      <c r="H263" t="s">
        <v>12</v>
      </c>
      <c r="I263" t="s">
        <v>12</v>
      </c>
      <c r="J263" t="s">
        <v>11</v>
      </c>
      <c r="K263" t="s">
        <v>12</v>
      </c>
    </row>
    <row r="264" spans="1:11" x14ac:dyDescent="0.25">
      <c r="A264" t="s">
        <v>35</v>
      </c>
      <c r="B264" t="s">
        <v>15</v>
      </c>
      <c r="C264">
        <v>4</v>
      </c>
      <c r="D264">
        <v>4</v>
      </c>
      <c r="E264">
        <v>150000</v>
      </c>
      <c r="F264" t="s">
        <v>10</v>
      </c>
      <c r="G264" t="s">
        <v>9</v>
      </c>
      <c r="H264" t="s">
        <v>12</v>
      </c>
      <c r="I264" t="s">
        <v>11</v>
      </c>
      <c r="J264" t="s">
        <v>11</v>
      </c>
      <c r="K264" t="s">
        <v>11</v>
      </c>
    </row>
    <row r="265" spans="1:11" x14ac:dyDescent="0.25">
      <c r="A265" t="s">
        <v>35</v>
      </c>
      <c r="B265" t="s">
        <v>23</v>
      </c>
      <c r="C265">
        <v>0</v>
      </c>
      <c r="D265">
        <v>1</v>
      </c>
      <c r="E265">
        <v>35000</v>
      </c>
      <c r="F265" t="s">
        <v>10</v>
      </c>
      <c r="G265" t="s">
        <v>9</v>
      </c>
      <c r="H265" t="s">
        <v>12</v>
      </c>
      <c r="I265" t="s">
        <v>12</v>
      </c>
      <c r="J265" t="s">
        <v>11</v>
      </c>
      <c r="K265"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A64B5-9E52-481E-846E-349024E504BC}">
  <dimension ref="A1:Q266"/>
  <sheetViews>
    <sheetView topLeftCell="C1" workbookViewId="0">
      <pane ySplit="1" topLeftCell="A26" activePane="bottomLeft" state="frozen"/>
      <selection pane="bottomLeft" activeCell="J33" sqref="J33"/>
    </sheetView>
  </sheetViews>
  <sheetFormatPr defaultRowHeight="15" x14ac:dyDescent="0.25"/>
  <cols>
    <col min="1" max="1" width="17.140625" customWidth="1"/>
    <col min="2" max="2" width="16.140625" customWidth="1"/>
    <col min="3" max="3" width="12.140625" customWidth="1"/>
    <col min="4" max="4" width="12.7109375" customWidth="1"/>
    <col min="5" max="5" width="12.140625" customWidth="1"/>
    <col min="6" max="6" width="12" customWidth="1"/>
    <col min="7" max="7" width="9.7109375" customWidth="1"/>
    <col min="9" max="9" width="16.85546875" customWidth="1"/>
    <col min="10" max="11" width="24.85546875" bestFit="1" customWidth="1"/>
    <col min="12" max="16" width="0" hidden="1" customWidth="1"/>
  </cols>
  <sheetData>
    <row r="1" spans="1:17" x14ac:dyDescent="0.25">
      <c r="A1" t="s">
        <v>0</v>
      </c>
      <c r="B1" t="s">
        <v>46</v>
      </c>
      <c r="C1" t="s">
        <v>36</v>
      </c>
      <c r="D1" t="s">
        <v>1</v>
      </c>
      <c r="E1" t="s">
        <v>8</v>
      </c>
      <c r="F1" t="s">
        <v>2</v>
      </c>
      <c r="G1" t="s">
        <v>3</v>
      </c>
      <c r="H1" t="s">
        <v>4</v>
      </c>
      <c r="I1" t="s">
        <v>5</v>
      </c>
      <c r="J1" t="s">
        <v>6</v>
      </c>
      <c r="K1" t="s">
        <v>37</v>
      </c>
      <c r="L1" t="s">
        <v>38</v>
      </c>
      <c r="M1" t="s">
        <v>39</v>
      </c>
      <c r="N1" t="s">
        <v>41</v>
      </c>
      <c r="O1" t="s">
        <v>42</v>
      </c>
      <c r="P1" t="s">
        <v>43</v>
      </c>
      <c r="Q1" t="s">
        <v>47</v>
      </c>
    </row>
    <row r="2" spans="1:17" x14ac:dyDescent="0.25">
      <c r="A2" t="s">
        <v>32</v>
      </c>
      <c r="B2" t="str">
        <f t="shared" ref="B2:B65" si="0">"P-"&amp;TEXT(ROW(A2)-1,"000")</f>
        <v>P-001</v>
      </c>
      <c r="C2" t="s">
        <v>7</v>
      </c>
      <c r="D2">
        <v>2</v>
      </c>
      <c r="E2">
        <v>2</v>
      </c>
      <c r="F2">
        <v>200000</v>
      </c>
      <c r="G2" t="s">
        <v>9</v>
      </c>
      <c r="H2" t="s">
        <v>9</v>
      </c>
      <c r="I2" t="s">
        <v>9</v>
      </c>
      <c r="J2" t="s">
        <v>9</v>
      </c>
      <c r="K2" t="s">
        <v>9</v>
      </c>
      <c r="L2" t="s">
        <v>9</v>
      </c>
      <c r="M2" t="str">
        <f t="shared" ref="M2:M65" si="1">PROPER(TRIM(G2))</f>
        <v>Yes</v>
      </c>
      <c r="N2" t="str">
        <f t="shared" ref="N2:N65" si="2">PROPER(TRIM(H2))</f>
        <v>Yes</v>
      </c>
      <c r="O2" t="str">
        <f t="shared" ref="O2:O65" si="3">PROPER(TRIM(I2))</f>
        <v>Yes</v>
      </c>
      <c r="P2" t="str">
        <f t="shared" ref="P2:P65" si="4">PROPER(TRIM(J2))</f>
        <v>Yes</v>
      </c>
      <c r="Q2" t="str">
        <f t="shared" ref="Q2:Q65" si="5">PROPER(TRIM(L2))</f>
        <v>Yes</v>
      </c>
    </row>
    <row r="3" spans="1:17" x14ac:dyDescent="0.25">
      <c r="A3" t="s">
        <v>32</v>
      </c>
      <c r="B3" t="str">
        <f t="shared" si="0"/>
        <v>P-002</v>
      </c>
      <c r="C3" t="s">
        <v>7</v>
      </c>
      <c r="D3">
        <v>1</v>
      </c>
      <c r="E3">
        <v>2</v>
      </c>
      <c r="F3">
        <v>150000</v>
      </c>
      <c r="G3" t="s">
        <v>9</v>
      </c>
      <c r="H3" t="s">
        <v>9</v>
      </c>
      <c r="I3" t="s">
        <v>9</v>
      </c>
      <c r="J3" t="s">
        <v>9</v>
      </c>
      <c r="K3" t="s">
        <v>9</v>
      </c>
      <c r="L3" t="s">
        <v>9</v>
      </c>
      <c r="M3" t="str">
        <f t="shared" si="1"/>
        <v>Yes</v>
      </c>
      <c r="N3" t="str">
        <f t="shared" si="2"/>
        <v>Yes</v>
      </c>
      <c r="O3" t="str">
        <f t="shared" si="3"/>
        <v>Yes</v>
      </c>
      <c r="P3" t="str">
        <f t="shared" si="4"/>
        <v>Yes</v>
      </c>
      <c r="Q3" t="str">
        <f t="shared" si="5"/>
        <v>Yes</v>
      </c>
    </row>
    <row r="4" spans="1:17" x14ac:dyDescent="0.25">
      <c r="A4" t="s">
        <v>32</v>
      </c>
      <c r="B4" t="str">
        <f t="shared" si="0"/>
        <v>P-003</v>
      </c>
      <c r="C4" t="s">
        <v>7</v>
      </c>
      <c r="D4">
        <v>3</v>
      </c>
      <c r="E4">
        <v>3</v>
      </c>
      <c r="F4">
        <v>350000</v>
      </c>
      <c r="G4" t="s">
        <v>9</v>
      </c>
      <c r="H4" t="s">
        <v>9</v>
      </c>
      <c r="I4" t="s">
        <v>9</v>
      </c>
      <c r="J4" t="s">
        <v>9</v>
      </c>
      <c r="K4" t="s">
        <v>9</v>
      </c>
      <c r="L4" t="s">
        <v>9</v>
      </c>
      <c r="M4" t="str">
        <f t="shared" si="1"/>
        <v>Yes</v>
      </c>
      <c r="N4" t="str">
        <f t="shared" si="2"/>
        <v>Yes</v>
      </c>
      <c r="O4" t="str">
        <f t="shared" si="3"/>
        <v>Yes</v>
      </c>
      <c r="P4" t="str">
        <f t="shared" si="4"/>
        <v>Yes</v>
      </c>
      <c r="Q4" t="str">
        <f t="shared" si="5"/>
        <v>Yes</v>
      </c>
    </row>
    <row r="5" spans="1:17" x14ac:dyDescent="0.25">
      <c r="A5" t="s">
        <v>32</v>
      </c>
      <c r="B5" t="str">
        <f t="shared" si="0"/>
        <v>P-004</v>
      </c>
      <c r="C5" t="s">
        <v>7</v>
      </c>
      <c r="D5">
        <v>3</v>
      </c>
      <c r="E5">
        <v>3</v>
      </c>
      <c r="F5">
        <v>230000</v>
      </c>
      <c r="G5" t="s">
        <v>9</v>
      </c>
      <c r="H5" t="s">
        <v>9</v>
      </c>
      <c r="I5" t="s">
        <v>9</v>
      </c>
      <c r="J5" t="s">
        <v>9</v>
      </c>
      <c r="K5" t="s">
        <v>9</v>
      </c>
      <c r="L5" t="s">
        <v>9</v>
      </c>
      <c r="M5" t="str">
        <f t="shared" si="1"/>
        <v>Yes</v>
      </c>
      <c r="N5" t="str">
        <f t="shared" si="2"/>
        <v>Yes</v>
      </c>
      <c r="O5" t="str">
        <f t="shared" si="3"/>
        <v>Yes</v>
      </c>
      <c r="P5" t="str">
        <f t="shared" si="4"/>
        <v>Yes</v>
      </c>
      <c r="Q5" t="str">
        <f t="shared" si="5"/>
        <v>Yes</v>
      </c>
    </row>
    <row r="6" spans="1:17" x14ac:dyDescent="0.25">
      <c r="A6" t="s">
        <v>32</v>
      </c>
      <c r="B6" t="str">
        <f t="shared" si="0"/>
        <v>P-005</v>
      </c>
      <c r="C6" t="s">
        <v>7</v>
      </c>
      <c r="D6">
        <v>3</v>
      </c>
      <c r="E6">
        <v>3</v>
      </c>
      <c r="F6">
        <v>350000</v>
      </c>
      <c r="G6" t="s">
        <v>9</v>
      </c>
      <c r="H6" t="s">
        <v>9</v>
      </c>
      <c r="I6" t="s">
        <v>10</v>
      </c>
      <c r="J6" t="s">
        <v>10</v>
      </c>
      <c r="K6" t="s">
        <v>9</v>
      </c>
      <c r="L6" t="s">
        <v>9</v>
      </c>
      <c r="M6" t="str">
        <f t="shared" si="1"/>
        <v>Yes</v>
      </c>
      <c r="N6" t="str">
        <f t="shared" si="2"/>
        <v>Yes</v>
      </c>
      <c r="O6" t="str">
        <f t="shared" si="3"/>
        <v>No</v>
      </c>
      <c r="P6" t="str">
        <f t="shared" si="4"/>
        <v>No</v>
      </c>
      <c r="Q6" t="str">
        <f t="shared" si="5"/>
        <v>Yes</v>
      </c>
    </row>
    <row r="7" spans="1:17" x14ac:dyDescent="0.25">
      <c r="A7" t="s">
        <v>32</v>
      </c>
      <c r="B7" t="str">
        <f t="shared" si="0"/>
        <v>P-006</v>
      </c>
      <c r="C7" t="s">
        <v>7</v>
      </c>
      <c r="D7">
        <v>1</v>
      </c>
      <c r="E7">
        <v>1</v>
      </c>
      <c r="F7">
        <v>130000</v>
      </c>
      <c r="G7" t="s">
        <v>9</v>
      </c>
      <c r="H7" t="s">
        <v>9</v>
      </c>
      <c r="I7" t="s">
        <v>10</v>
      </c>
      <c r="J7" t="s">
        <v>10</v>
      </c>
      <c r="K7" t="s">
        <v>9</v>
      </c>
      <c r="L7" t="s">
        <v>9</v>
      </c>
      <c r="M7" t="str">
        <f t="shared" si="1"/>
        <v>Yes</v>
      </c>
      <c r="N7" t="str">
        <f t="shared" si="2"/>
        <v>Yes</v>
      </c>
      <c r="O7" t="str">
        <f t="shared" si="3"/>
        <v>No</v>
      </c>
      <c r="P7" t="str">
        <f t="shared" si="4"/>
        <v>No</v>
      </c>
      <c r="Q7" t="str">
        <f t="shared" si="5"/>
        <v>Yes</v>
      </c>
    </row>
    <row r="8" spans="1:17" x14ac:dyDescent="0.25">
      <c r="A8" t="s">
        <v>32</v>
      </c>
      <c r="B8" t="str">
        <f t="shared" si="0"/>
        <v>P-007</v>
      </c>
      <c r="C8" t="s">
        <v>7</v>
      </c>
      <c r="D8">
        <v>3</v>
      </c>
      <c r="E8">
        <v>2</v>
      </c>
      <c r="F8">
        <v>125000</v>
      </c>
      <c r="G8" t="s">
        <v>10</v>
      </c>
      <c r="H8" t="s">
        <v>9</v>
      </c>
      <c r="I8" t="s">
        <v>9</v>
      </c>
      <c r="J8" t="s">
        <v>10</v>
      </c>
      <c r="K8" t="s">
        <v>9</v>
      </c>
      <c r="L8" t="s">
        <v>9</v>
      </c>
      <c r="M8" t="str">
        <f t="shared" si="1"/>
        <v>No</v>
      </c>
      <c r="N8" t="str">
        <f t="shared" si="2"/>
        <v>Yes</v>
      </c>
      <c r="O8" t="str">
        <f t="shared" si="3"/>
        <v>Yes</v>
      </c>
      <c r="P8" t="str">
        <f t="shared" si="4"/>
        <v>No</v>
      </c>
      <c r="Q8" t="str">
        <f t="shared" si="5"/>
        <v>Yes</v>
      </c>
    </row>
    <row r="9" spans="1:17" x14ac:dyDescent="0.25">
      <c r="A9" t="s">
        <v>32</v>
      </c>
      <c r="B9" t="str">
        <f t="shared" si="0"/>
        <v>P-008</v>
      </c>
      <c r="C9" t="s">
        <v>7</v>
      </c>
      <c r="D9">
        <v>4</v>
      </c>
      <c r="E9">
        <v>4</v>
      </c>
      <c r="F9">
        <v>170000</v>
      </c>
      <c r="G9" t="s">
        <v>10</v>
      </c>
      <c r="H9" t="s">
        <v>9</v>
      </c>
      <c r="I9" t="s">
        <v>9</v>
      </c>
      <c r="J9" t="s">
        <v>10</v>
      </c>
      <c r="K9" t="s">
        <v>9</v>
      </c>
      <c r="L9" t="s">
        <v>9</v>
      </c>
      <c r="M9" t="str">
        <f t="shared" si="1"/>
        <v>No</v>
      </c>
      <c r="N9" t="str">
        <f t="shared" si="2"/>
        <v>Yes</v>
      </c>
      <c r="O9" t="str">
        <f t="shared" si="3"/>
        <v>Yes</v>
      </c>
      <c r="P9" t="str">
        <f t="shared" si="4"/>
        <v>No</v>
      </c>
      <c r="Q9" t="str">
        <f t="shared" si="5"/>
        <v>Yes</v>
      </c>
    </row>
    <row r="10" spans="1:17" x14ac:dyDescent="0.25">
      <c r="A10" t="s">
        <v>32</v>
      </c>
      <c r="B10" t="str">
        <f t="shared" si="0"/>
        <v>P-009</v>
      </c>
      <c r="C10" t="s">
        <v>7</v>
      </c>
      <c r="D10">
        <v>4</v>
      </c>
      <c r="E10">
        <v>4</v>
      </c>
      <c r="F10">
        <v>180000</v>
      </c>
      <c r="G10" t="s">
        <v>10</v>
      </c>
      <c r="H10" t="s">
        <v>9</v>
      </c>
      <c r="I10" t="s">
        <v>9</v>
      </c>
      <c r="J10" t="s">
        <v>10</v>
      </c>
      <c r="K10" t="s">
        <v>9</v>
      </c>
      <c r="L10" t="s">
        <v>9</v>
      </c>
      <c r="M10" t="str">
        <f t="shared" si="1"/>
        <v>No</v>
      </c>
      <c r="N10" t="str">
        <f t="shared" si="2"/>
        <v>Yes</v>
      </c>
      <c r="O10" t="str">
        <f t="shared" si="3"/>
        <v>Yes</v>
      </c>
      <c r="P10" t="str">
        <f t="shared" si="4"/>
        <v>No</v>
      </c>
      <c r="Q10" t="str">
        <f t="shared" si="5"/>
        <v>Yes</v>
      </c>
    </row>
    <row r="11" spans="1:17" x14ac:dyDescent="0.25">
      <c r="A11" t="s">
        <v>32</v>
      </c>
      <c r="B11" t="str">
        <f t="shared" si="0"/>
        <v>P-010</v>
      </c>
      <c r="C11" t="s">
        <v>7</v>
      </c>
      <c r="D11">
        <v>4</v>
      </c>
      <c r="E11">
        <v>4</v>
      </c>
      <c r="F11">
        <v>160000</v>
      </c>
      <c r="G11" t="s">
        <v>10</v>
      </c>
      <c r="H11" t="s">
        <v>9</v>
      </c>
      <c r="I11" t="s">
        <v>9</v>
      </c>
      <c r="J11" t="s">
        <v>10</v>
      </c>
      <c r="K11" t="s">
        <v>9</v>
      </c>
      <c r="L11" t="s">
        <v>9</v>
      </c>
      <c r="M11" t="str">
        <f t="shared" si="1"/>
        <v>No</v>
      </c>
      <c r="N11" t="str">
        <f t="shared" si="2"/>
        <v>Yes</v>
      </c>
      <c r="O11" t="str">
        <f t="shared" si="3"/>
        <v>Yes</v>
      </c>
      <c r="P11" t="str">
        <f t="shared" si="4"/>
        <v>No</v>
      </c>
      <c r="Q11" t="str">
        <f t="shared" si="5"/>
        <v>Yes</v>
      </c>
    </row>
    <row r="12" spans="1:17" x14ac:dyDescent="0.25">
      <c r="A12" t="s">
        <v>32</v>
      </c>
      <c r="B12" t="str">
        <f t="shared" si="0"/>
        <v>P-011</v>
      </c>
      <c r="C12" t="s">
        <v>7</v>
      </c>
      <c r="D12">
        <v>2</v>
      </c>
      <c r="E12">
        <v>2</v>
      </c>
      <c r="F12">
        <v>250000</v>
      </c>
      <c r="G12" t="s">
        <v>9</v>
      </c>
      <c r="H12" t="s">
        <v>9</v>
      </c>
      <c r="I12" t="s">
        <v>9</v>
      </c>
      <c r="J12" t="s">
        <v>10</v>
      </c>
      <c r="K12" t="s">
        <v>9</v>
      </c>
      <c r="L12" t="s">
        <v>9</v>
      </c>
      <c r="M12" t="str">
        <f t="shared" si="1"/>
        <v>Yes</v>
      </c>
      <c r="N12" t="str">
        <f t="shared" si="2"/>
        <v>Yes</v>
      </c>
      <c r="O12" t="str">
        <f t="shared" si="3"/>
        <v>Yes</v>
      </c>
      <c r="P12" t="str">
        <f t="shared" si="4"/>
        <v>No</v>
      </c>
      <c r="Q12" t="str">
        <f t="shared" si="5"/>
        <v>Yes</v>
      </c>
    </row>
    <row r="13" spans="1:17" x14ac:dyDescent="0.25">
      <c r="A13" t="s">
        <v>32</v>
      </c>
      <c r="B13" t="str">
        <f t="shared" si="0"/>
        <v>P-012</v>
      </c>
      <c r="C13" t="s">
        <v>7</v>
      </c>
      <c r="D13">
        <v>2</v>
      </c>
      <c r="E13">
        <v>2</v>
      </c>
      <c r="F13">
        <v>145000</v>
      </c>
      <c r="G13" t="s">
        <v>10</v>
      </c>
      <c r="H13" t="s">
        <v>9</v>
      </c>
      <c r="I13" t="s">
        <v>9</v>
      </c>
      <c r="J13" t="s">
        <v>10</v>
      </c>
      <c r="K13" t="s">
        <v>9</v>
      </c>
      <c r="L13" t="s">
        <v>9</v>
      </c>
      <c r="M13" t="str">
        <f t="shared" si="1"/>
        <v>No</v>
      </c>
      <c r="N13" t="str">
        <f t="shared" si="2"/>
        <v>Yes</v>
      </c>
      <c r="O13" t="str">
        <f t="shared" si="3"/>
        <v>Yes</v>
      </c>
      <c r="P13" t="str">
        <f t="shared" si="4"/>
        <v>No</v>
      </c>
      <c r="Q13" t="str">
        <f t="shared" si="5"/>
        <v>Yes</v>
      </c>
    </row>
    <row r="14" spans="1:17" x14ac:dyDescent="0.25">
      <c r="A14" t="s">
        <v>32</v>
      </c>
      <c r="B14" t="str">
        <f t="shared" si="0"/>
        <v>P-013</v>
      </c>
      <c r="C14" t="s">
        <v>7</v>
      </c>
      <c r="D14">
        <v>1</v>
      </c>
      <c r="E14">
        <v>1</v>
      </c>
      <c r="F14">
        <v>160000</v>
      </c>
      <c r="G14" t="s">
        <v>9</v>
      </c>
      <c r="H14" t="s">
        <v>9</v>
      </c>
      <c r="I14" t="s">
        <v>9</v>
      </c>
      <c r="J14" t="s">
        <v>10</v>
      </c>
      <c r="K14" t="s">
        <v>9</v>
      </c>
      <c r="L14" t="s">
        <v>9</v>
      </c>
      <c r="M14" t="str">
        <f t="shared" si="1"/>
        <v>Yes</v>
      </c>
      <c r="N14" t="str">
        <f t="shared" si="2"/>
        <v>Yes</v>
      </c>
      <c r="O14" t="str">
        <f t="shared" si="3"/>
        <v>Yes</v>
      </c>
      <c r="P14" t="str">
        <f t="shared" si="4"/>
        <v>No</v>
      </c>
      <c r="Q14" t="str">
        <f t="shared" si="5"/>
        <v>Yes</v>
      </c>
    </row>
    <row r="15" spans="1:17" x14ac:dyDescent="0.25">
      <c r="A15" t="s">
        <v>32</v>
      </c>
      <c r="B15" t="str">
        <f t="shared" si="0"/>
        <v>P-014</v>
      </c>
      <c r="C15" t="s">
        <v>7</v>
      </c>
      <c r="D15">
        <v>1</v>
      </c>
      <c r="E15">
        <v>1</v>
      </c>
      <c r="F15">
        <v>80000</v>
      </c>
      <c r="G15" t="s">
        <v>10</v>
      </c>
      <c r="H15" t="s">
        <v>9</v>
      </c>
      <c r="I15" t="s">
        <v>9</v>
      </c>
      <c r="J15" t="s">
        <v>10</v>
      </c>
      <c r="K15" t="s">
        <v>9</v>
      </c>
      <c r="L15" t="s">
        <v>9</v>
      </c>
      <c r="M15" t="str">
        <f t="shared" si="1"/>
        <v>No</v>
      </c>
      <c r="N15" t="str">
        <f t="shared" si="2"/>
        <v>Yes</v>
      </c>
      <c r="O15" t="str">
        <f t="shared" si="3"/>
        <v>Yes</v>
      </c>
      <c r="P15" t="str">
        <f t="shared" si="4"/>
        <v>No</v>
      </c>
      <c r="Q15" t="str">
        <f t="shared" si="5"/>
        <v>Yes</v>
      </c>
    </row>
    <row r="16" spans="1:17" x14ac:dyDescent="0.25">
      <c r="A16" t="s">
        <v>32</v>
      </c>
      <c r="B16" t="str">
        <f t="shared" si="0"/>
        <v>P-015</v>
      </c>
      <c r="C16" t="s">
        <v>7</v>
      </c>
      <c r="D16">
        <v>2</v>
      </c>
      <c r="E16">
        <v>2</v>
      </c>
      <c r="F16">
        <v>170000</v>
      </c>
      <c r="G16" t="s">
        <v>9</v>
      </c>
      <c r="H16" t="s">
        <v>9</v>
      </c>
      <c r="I16" t="s">
        <v>9</v>
      </c>
      <c r="J16" t="s">
        <v>10</v>
      </c>
      <c r="K16" t="s">
        <v>9</v>
      </c>
      <c r="L16" t="s">
        <v>9</v>
      </c>
      <c r="M16" t="str">
        <f t="shared" si="1"/>
        <v>Yes</v>
      </c>
      <c r="N16" t="str">
        <f t="shared" si="2"/>
        <v>Yes</v>
      </c>
      <c r="O16" t="str">
        <f t="shared" si="3"/>
        <v>Yes</v>
      </c>
      <c r="P16" t="str">
        <f t="shared" si="4"/>
        <v>No</v>
      </c>
      <c r="Q16" t="str">
        <f t="shared" si="5"/>
        <v>Yes</v>
      </c>
    </row>
    <row r="17" spans="1:17" x14ac:dyDescent="0.25">
      <c r="A17" t="s">
        <v>32</v>
      </c>
      <c r="B17" t="str">
        <f t="shared" si="0"/>
        <v>P-016</v>
      </c>
      <c r="C17" t="s">
        <v>7</v>
      </c>
      <c r="D17">
        <v>1</v>
      </c>
      <c r="E17">
        <v>1</v>
      </c>
      <c r="F17">
        <v>125000</v>
      </c>
      <c r="G17" t="s">
        <v>9</v>
      </c>
      <c r="H17" t="s">
        <v>9</v>
      </c>
      <c r="I17" t="s">
        <v>9</v>
      </c>
      <c r="J17" t="s">
        <v>10</v>
      </c>
      <c r="K17" t="s">
        <v>9</v>
      </c>
      <c r="L17" t="s">
        <v>9</v>
      </c>
      <c r="M17" t="str">
        <f t="shared" si="1"/>
        <v>Yes</v>
      </c>
      <c r="N17" t="str">
        <f t="shared" si="2"/>
        <v>Yes</v>
      </c>
      <c r="O17" t="str">
        <f t="shared" si="3"/>
        <v>Yes</v>
      </c>
      <c r="P17" t="str">
        <f t="shared" si="4"/>
        <v>No</v>
      </c>
      <c r="Q17" t="str">
        <f t="shared" si="5"/>
        <v>Yes</v>
      </c>
    </row>
    <row r="18" spans="1:17" x14ac:dyDescent="0.25">
      <c r="A18" t="s">
        <v>32</v>
      </c>
      <c r="B18" t="str">
        <f t="shared" si="0"/>
        <v>P-017</v>
      </c>
      <c r="C18" t="s">
        <v>7</v>
      </c>
      <c r="D18">
        <v>2</v>
      </c>
      <c r="E18">
        <v>2</v>
      </c>
      <c r="F18">
        <v>220000</v>
      </c>
      <c r="G18" t="s">
        <v>9</v>
      </c>
      <c r="H18" t="s">
        <v>9</v>
      </c>
      <c r="I18" t="s">
        <v>9</v>
      </c>
      <c r="J18" t="s">
        <v>10</v>
      </c>
      <c r="K18" t="s">
        <v>9</v>
      </c>
      <c r="L18" t="s">
        <v>9</v>
      </c>
      <c r="M18" t="str">
        <f t="shared" si="1"/>
        <v>Yes</v>
      </c>
      <c r="N18" t="str">
        <f t="shared" si="2"/>
        <v>Yes</v>
      </c>
      <c r="O18" t="str">
        <f t="shared" si="3"/>
        <v>Yes</v>
      </c>
      <c r="P18" t="str">
        <f t="shared" si="4"/>
        <v>No</v>
      </c>
      <c r="Q18" t="str">
        <f t="shared" si="5"/>
        <v>Yes</v>
      </c>
    </row>
    <row r="19" spans="1:17" x14ac:dyDescent="0.25">
      <c r="A19" t="s">
        <v>32</v>
      </c>
      <c r="B19" t="str">
        <f t="shared" si="0"/>
        <v>P-018</v>
      </c>
      <c r="C19" t="s">
        <v>7</v>
      </c>
      <c r="D19">
        <v>2</v>
      </c>
      <c r="E19">
        <v>2</v>
      </c>
      <c r="F19">
        <v>230000</v>
      </c>
      <c r="G19" t="s">
        <v>9</v>
      </c>
      <c r="H19" t="s">
        <v>9</v>
      </c>
      <c r="I19" t="s">
        <v>9</v>
      </c>
      <c r="J19" t="s">
        <v>10</v>
      </c>
      <c r="K19" t="s">
        <v>9</v>
      </c>
      <c r="L19" t="s">
        <v>9</v>
      </c>
      <c r="M19" t="str">
        <f t="shared" si="1"/>
        <v>Yes</v>
      </c>
      <c r="N19" t="str">
        <f t="shared" si="2"/>
        <v>Yes</v>
      </c>
      <c r="O19" t="str">
        <f t="shared" si="3"/>
        <v>Yes</v>
      </c>
      <c r="P19" t="str">
        <f t="shared" si="4"/>
        <v>No</v>
      </c>
      <c r="Q19" t="str">
        <f t="shared" si="5"/>
        <v>Yes</v>
      </c>
    </row>
    <row r="20" spans="1:17" x14ac:dyDescent="0.25">
      <c r="A20" t="s">
        <v>32</v>
      </c>
      <c r="B20" t="str">
        <f t="shared" si="0"/>
        <v>P-019</v>
      </c>
      <c r="C20" t="s">
        <v>7</v>
      </c>
      <c r="D20">
        <v>2</v>
      </c>
      <c r="E20">
        <v>2</v>
      </c>
      <c r="F20">
        <v>250000</v>
      </c>
      <c r="G20" t="s">
        <v>9</v>
      </c>
      <c r="H20" t="s">
        <v>9</v>
      </c>
      <c r="I20" t="s">
        <v>9</v>
      </c>
      <c r="J20" t="s">
        <v>10</v>
      </c>
      <c r="K20" t="s">
        <v>9</v>
      </c>
      <c r="L20" t="s">
        <v>9</v>
      </c>
      <c r="M20" t="str">
        <f t="shared" si="1"/>
        <v>Yes</v>
      </c>
      <c r="N20" t="str">
        <f t="shared" si="2"/>
        <v>Yes</v>
      </c>
      <c r="O20" t="str">
        <f t="shared" si="3"/>
        <v>Yes</v>
      </c>
      <c r="P20" t="str">
        <f t="shared" si="4"/>
        <v>No</v>
      </c>
      <c r="Q20" t="str">
        <f t="shared" si="5"/>
        <v>Yes</v>
      </c>
    </row>
    <row r="21" spans="1:17" x14ac:dyDescent="0.25">
      <c r="A21" t="s">
        <v>32</v>
      </c>
      <c r="B21" t="str">
        <f t="shared" si="0"/>
        <v>P-020</v>
      </c>
      <c r="C21" t="s">
        <v>7</v>
      </c>
      <c r="D21">
        <v>2</v>
      </c>
      <c r="E21">
        <v>2</v>
      </c>
      <c r="F21">
        <v>240000</v>
      </c>
      <c r="G21" t="s">
        <v>9</v>
      </c>
      <c r="H21" t="s">
        <v>9</v>
      </c>
      <c r="I21" t="s">
        <v>9</v>
      </c>
      <c r="J21" t="s">
        <v>10</v>
      </c>
      <c r="K21" t="s">
        <v>9</v>
      </c>
      <c r="L21" t="s">
        <v>9</v>
      </c>
      <c r="M21" t="str">
        <f t="shared" si="1"/>
        <v>Yes</v>
      </c>
      <c r="N21" t="str">
        <f t="shared" si="2"/>
        <v>Yes</v>
      </c>
      <c r="O21" t="str">
        <f t="shared" si="3"/>
        <v>Yes</v>
      </c>
      <c r="P21" t="str">
        <f t="shared" si="4"/>
        <v>No</v>
      </c>
      <c r="Q21" t="str">
        <f t="shared" si="5"/>
        <v>Yes</v>
      </c>
    </row>
    <row r="22" spans="1:17" x14ac:dyDescent="0.25">
      <c r="A22" t="s">
        <v>32</v>
      </c>
      <c r="B22" t="str">
        <f t="shared" si="0"/>
        <v>P-021</v>
      </c>
      <c r="C22" t="s">
        <v>7</v>
      </c>
      <c r="D22">
        <v>2</v>
      </c>
      <c r="E22">
        <v>2</v>
      </c>
      <c r="F22">
        <v>300000</v>
      </c>
      <c r="G22" t="s">
        <v>9</v>
      </c>
      <c r="H22" t="s">
        <v>9</v>
      </c>
      <c r="I22" t="s">
        <v>9</v>
      </c>
      <c r="J22" t="s">
        <v>10</v>
      </c>
      <c r="K22" t="s">
        <v>9</v>
      </c>
      <c r="L22" t="s">
        <v>9</v>
      </c>
      <c r="M22" t="str">
        <f t="shared" si="1"/>
        <v>Yes</v>
      </c>
      <c r="N22" t="str">
        <f t="shared" si="2"/>
        <v>Yes</v>
      </c>
      <c r="O22" t="str">
        <f t="shared" si="3"/>
        <v>Yes</v>
      </c>
      <c r="P22" t="str">
        <f t="shared" si="4"/>
        <v>No</v>
      </c>
      <c r="Q22" t="str">
        <f t="shared" si="5"/>
        <v>Yes</v>
      </c>
    </row>
    <row r="23" spans="1:17" x14ac:dyDescent="0.25">
      <c r="A23" t="s">
        <v>32</v>
      </c>
      <c r="B23" t="str">
        <f t="shared" si="0"/>
        <v>P-022</v>
      </c>
      <c r="C23" t="s">
        <v>7</v>
      </c>
      <c r="D23">
        <v>2</v>
      </c>
      <c r="E23">
        <v>2</v>
      </c>
      <c r="F23">
        <v>90000</v>
      </c>
      <c r="G23" t="s">
        <v>10</v>
      </c>
      <c r="H23" t="s">
        <v>9</v>
      </c>
      <c r="I23" t="s">
        <v>9</v>
      </c>
      <c r="J23" t="s">
        <v>10</v>
      </c>
      <c r="K23" t="s">
        <v>9</v>
      </c>
      <c r="L23" t="s">
        <v>9</v>
      </c>
      <c r="M23" t="str">
        <f t="shared" si="1"/>
        <v>No</v>
      </c>
      <c r="N23" t="str">
        <f t="shared" si="2"/>
        <v>Yes</v>
      </c>
      <c r="O23" t="str">
        <f t="shared" si="3"/>
        <v>Yes</v>
      </c>
      <c r="P23" t="str">
        <f t="shared" si="4"/>
        <v>No</v>
      </c>
      <c r="Q23" t="str">
        <f t="shared" si="5"/>
        <v>Yes</v>
      </c>
    </row>
    <row r="24" spans="1:17" x14ac:dyDescent="0.25">
      <c r="A24" t="s">
        <v>32</v>
      </c>
      <c r="B24" t="str">
        <f t="shared" si="0"/>
        <v>P-023</v>
      </c>
      <c r="C24" t="s">
        <v>7</v>
      </c>
      <c r="D24">
        <v>2</v>
      </c>
      <c r="E24">
        <v>2</v>
      </c>
      <c r="F24">
        <v>180000</v>
      </c>
      <c r="G24" t="s">
        <v>10</v>
      </c>
      <c r="H24" t="s">
        <v>9</v>
      </c>
      <c r="I24" t="s">
        <v>9</v>
      </c>
      <c r="J24" t="s">
        <v>10</v>
      </c>
      <c r="K24" t="s">
        <v>9</v>
      </c>
      <c r="L24" t="s">
        <v>9</v>
      </c>
      <c r="M24" t="str">
        <f t="shared" si="1"/>
        <v>No</v>
      </c>
      <c r="N24" t="str">
        <f t="shared" si="2"/>
        <v>Yes</v>
      </c>
      <c r="O24" t="str">
        <f t="shared" si="3"/>
        <v>Yes</v>
      </c>
      <c r="P24" t="str">
        <f t="shared" si="4"/>
        <v>No</v>
      </c>
      <c r="Q24" t="str">
        <f t="shared" si="5"/>
        <v>Yes</v>
      </c>
    </row>
    <row r="25" spans="1:17" x14ac:dyDescent="0.25">
      <c r="A25" t="s">
        <v>32</v>
      </c>
      <c r="B25" t="str">
        <f t="shared" si="0"/>
        <v>P-024</v>
      </c>
      <c r="C25" t="s">
        <v>7</v>
      </c>
      <c r="D25">
        <v>4</v>
      </c>
      <c r="E25">
        <v>5</v>
      </c>
      <c r="F25">
        <v>250000</v>
      </c>
      <c r="G25" t="s">
        <v>10</v>
      </c>
      <c r="H25" t="s">
        <v>9</v>
      </c>
      <c r="I25" t="s">
        <v>9</v>
      </c>
      <c r="J25" t="s">
        <v>10</v>
      </c>
      <c r="K25" t="s">
        <v>9</v>
      </c>
      <c r="L25" t="s">
        <v>9</v>
      </c>
      <c r="M25" t="str">
        <f t="shared" si="1"/>
        <v>No</v>
      </c>
      <c r="N25" t="str">
        <f t="shared" si="2"/>
        <v>Yes</v>
      </c>
      <c r="O25" t="str">
        <f t="shared" si="3"/>
        <v>Yes</v>
      </c>
      <c r="P25" t="str">
        <f t="shared" si="4"/>
        <v>No</v>
      </c>
      <c r="Q25" t="str">
        <f t="shared" si="5"/>
        <v>Yes</v>
      </c>
    </row>
    <row r="26" spans="1:17" x14ac:dyDescent="0.25">
      <c r="A26" t="s">
        <v>32</v>
      </c>
      <c r="B26" t="str">
        <f t="shared" si="0"/>
        <v>P-025</v>
      </c>
      <c r="C26" t="s">
        <v>7</v>
      </c>
      <c r="D26">
        <v>2</v>
      </c>
      <c r="E26">
        <v>2</v>
      </c>
      <c r="F26">
        <v>250000</v>
      </c>
      <c r="G26" t="s">
        <v>9</v>
      </c>
      <c r="H26" t="s">
        <v>9</v>
      </c>
      <c r="I26" t="s">
        <v>9</v>
      </c>
      <c r="J26" t="s">
        <v>10</v>
      </c>
      <c r="K26" t="s">
        <v>9</v>
      </c>
      <c r="L26" t="s">
        <v>9</v>
      </c>
      <c r="M26" t="str">
        <f t="shared" si="1"/>
        <v>Yes</v>
      </c>
      <c r="N26" t="str">
        <f t="shared" si="2"/>
        <v>Yes</v>
      </c>
      <c r="O26" t="str">
        <f t="shared" si="3"/>
        <v>Yes</v>
      </c>
      <c r="P26" t="str">
        <f t="shared" si="4"/>
        <v>No</v>
      </c>
      <c r="Q26" t="str">
        <f t="shared" si="5"/>
        <v>Yes</v>
      </c>
    </row>
    <row r="27" spans="1:17" x14ac:dyDescent="0.25">
      <c r="A27" t="s">
        <v>13</v>
      </c>
      <c r="B27" t="str">
        <f t="shared" si="0"/>
        <v>P-026</v>
      </c>
      <c r="C27" t="s">
        <v>7</v>
      </c>
      <c r="D27">
        <v>2</v>
      </c>
      <c r="E27">
        <v>2</v>
      </c>
      <c r="F27">
        <v>130000</v>
      </c>
      <c r="G27" t="s">
        <v>9</v>
      </c>
      <c r="H27" t="s">
        <v>9</v>
      </c>
      <c r="I27" t="s">
        <v>9</v>
      </c>
      <c r="J27" t="s">
        <v>9</v>
      </c>
      <c r="K27" t="s">
        <v>9</v>
      </c>
      <c r="L27" t="s">
        <v>9</v>
      </c>
      <c r="M27" t="str">
        <f t="shared" si="1"/>
        <v>Yes</v>
      </c>
      <c r="N27" t="str">
        <f t="shared" si="2"/>
        <v>Yes</v>
      </c>
      <c r="O27" t="str">
        <f t="shared" si="3"/>
        <v>Yes</v>
      </c>
      <c r="P27" t="str">
        <f t="shared" si="4"/>
        <v>Yes</v>
      </c>
      <c r="Q27" t="str">
        <f t="shared" si="5"/>
        <v>Yes</v>
      </c>
    </row>
    <row r="28" spans="1:17" x14ac:dyDescent="0.25">
      <c r="A28" t="s">
        <v>13</v>
      </c>
      <c r="B28" t="str">
        <f t="shared" si="0"/>
        <v>P-027</v>
      </c>
      <c r="C28" t="s">
        <v>14</v>
      </c>
      <c r="D28">
        <v>5</v>
      </c>
      <c r="E28">
        <v>4</v>
      </c>
      <c r="F28">
        <v>240000</v>
      </c>
      <c r="G28" t="s">
        <v>10</v>
      </c>
      <c r="H28" t="s">
        <v>9</v>
      </c>
      <c r="I28" t="s">
        <v>10</v>
      </c>
      <c r="J28" t="s">
        <v>10</v>
      </c>
      <c r="K28" t="s">
        <v>9</v>
      </c>
      <c r="L28" t="s">
        <v>9</v>
      </c>
      <c r="M28" t="str">
        <f t="shared" si="1"/>
        <v>No</v>
      </c>
      <c r="N28" t="str">
        <f t="shared" si="2"/>
        <v>Yes</v>
      </c>
      <c r="O28" t="str">
        <f t="shared" si="3"/>
        <v>No</v>
      </c>
      <c r="P28" t="str">
        <f t="shared" si="4"/>
        <v>No</v>
      </c>
      <c r="Q28" t="str">
        <f t="shared" si="5"/>
        <v>Yes</v>
      </c>
    </row>
    <row r="29" spans="1:17" x14ac:dyDescent="0.25">
      <c r="A29" t="s">
        <v>13</v>
      </c>
      <c r="B29" t="str">
        <f t="shared" si="0"/>
        <v>P-028</v>
      </c>
      <c r="C29" t="s">
        <v>7</v>
      </c>
      <c r="D29">
        <v>2</v>
      </c>
      <c r="E29">
        <v>2</v>
      </c>
      <c r="F29">
        <v>90000</v>
      </c>
      <c r="G29" t="s">
        <v>10</v>
      </c>
      <c r="H29" t="s">
        <v>9</v>
      </c>
      <c r="I29" t="s">
        <v>9</v>
      </c>
      <c r="J29" t="s">
        <v>9</v>
      </c>
      <c r="K29" t="s">
        <v>9</v>
      </c>
      <c r="L29" t="s">
        <v>9</v>
      </c>
      <c r="M29" t="str">
        <f t="shared" si="1"/>
        <v>No</v>
      </c>
      <c r="N29" t="str">
        <f t="shared" si="2"/>
        <v>Yes</v>
      </c>
      <c r="O29" t="str">
        <f t="shared" si="3"/>
        <v>Yes</v>
      </c>
      <c r="P29" t="str">
        <f t="shared" si="4"/>
        <v>Yes</v>
      </c>
      <c r="Q29" t="str">
        <f t="shared" si="5"/>
        <v>Yes</v>
      </c>
    </row>
    <row r="30" spans="1:17" x14ac:dyDescent="0.25">
      <c r="A30" t="s">
        <v>13</v>
      </c>
      <c r="B30" t="str">
        <f t="shared" si="0"/>
        <v>P-029</v>
      </c>
      <c r="C30" t="s">
        <v>7</v>
      </c>
      <c r="D30">
        <v>2</v>
      </c>
      <c r="E30">
        <v>1</v>
      </c>
      <c r="F30">
        <v>130000</v>
      </c>
      <c r="G30" t="s">
        <v>9</v>
      </c>
      <c r="H30" t="s">
        <v>9</v>
      </c>
      <c r="I30" t="s">
        <v>9</v>
      </c>
      <c r="J30" t="s">
        <v>9</v>
      </c>
      <c r="K30" t="s">
        <v>9</v>
      </c>
      <c r="L30" t="s">
        <v>9</v>
      </c>
      <c r="M30" t="str">
        <f t="shared" si="1"/>
        <v>Yes</v>
      </c>
      <c r="N30" t="str">
        <f t="shared" si="2"/>
        <v>Yes</v>
      </c>
      <c r="O30" t="str">
        <f t="shared" si="3"/>
        <v>Yes</v>
      </c>
      <c r="P30" t="str">
        <f t="shared" si="4"/>
        <v>Yes</v>
      </c>
      <c r="Q30" t="str">
        <f t="shared" si="5"/>
        <v>Yes</v>
      </c>
    </row>
    <row r="31" spans="1:17" x14ac:dyDescent="0.25">
      <c r="A31" t="s">
        <v>13</v>
      </c>
      <c r="B31" t="str">
        <f t="shared" si="0"/>
        <v>P-030</v>
      </c>
      <c r="C31" t="s">
        <v>7</v>
      </c>
      <c r="D31">
        <v>3</v>
      </c>
      <c r="E31">
        <v>2</v>
      </c>
      <c r="F31">
        <v>130000</v>
      </c>
      <c r="G31" t="s">
        <v>9</v>
      </c>
      <c r="H31" t="s">
        <v>9</v>
      </c>
      <c r="I31" t="s">
        <v>9</v>
      </c>
      <c r="J31" t="s">
        <v>10</v>
      </c>
      <c r="K31" t="s">
        <v>9</v>
      </c>
      <c r="L31" t="s">
        <v>9</v>
      </c>
      <c r="M31" t="str">
        <f t="shared" si="1"/>
        <v>Yes</v>
      </c>
      <c r="N31" t="str">
        <f t="shared" si="2"/>
        <v>Yes</v>
      </c>
      <c r="O31" t="str">
        <f t="shared" si="3"/>
        <v>Yes</v>
      </c>
      <c r="P31" t="str">
        <f t="shared" si="4"/>
        <v>No</v>
      </c>
      <c r="Q31" t="str">
        <f t="shared" si="5"/>
        <v>Yes</v>
      </c>
    </row>
    <row r="32" spans="1:17" x14ac:dyDescent="0.25">
      <c r="A32" t="s">
        <v>13</v>
      </c>
      <c r="B32" t="str">
        <f t="shared" si="0"/>
        <v>P-031</v>
      </c>
      <c r="C32" t="s">
        <v>7</v>
      </c>
      <c r="D32">
        <v>2</v>
      </c>
      <c r="E32">
        <v>2</v>
      </c>
      <c r="F32">
        <v>100000</v>
      </c>
      <c r="G32" t="s">
        <v>9</v>
      </c>
      <c r="H32" t="s">
        <v>9</v>
      </c>
      <c r="I32" t="s">
        <v>10</v>
      </c>
      <c r="J32" t="s">
        <v>10</v>
      </c>
      <c r="K32" t="s">
        <v>9</v>
      </c>
      <c r="L32" t="s">
        <v>9</v>
      </c>
      <c r="M32" t="str">
        <f t="shared" si="1"/>
        <v>Yes</v>
      </c>
      <c r="N32" t="str">
        <f t="shared" si="2"/>
        <v>Yes</v>
      </c>
      <c r="O32" t="str">
        <f t="shared" si="3"/>
        <v>No</v>
      </c>
      <c r="P32" t="str">
        <f t="shared" si="4"/>
        <v>No</v>
      </c>
      <c r="Q32" t="str">
        <f t="shared" si="5"/>
        <v>Yes</v>
      </c>
    </row>
    <row r="33" spans="1:17" x14ac:dyDescent="0.25">
      <c r="A33" t="s">
        <v>13</v>
      </c>
      <c r="B33" t="str">
        <f t="shared" si="0"/>
        <v>P-032</v>
      </c>
      <c r="C33" t="s">
        <v>7</v>
      </c>
      <c r="D33">
        <v>3</v>
      </c>
      <c r="E33">
        <v>3</v>
      </c>
      <c r="F33">
        <v>75000</v>
      </c>
      <c r="G33" t="s">
        <v>10</v>
      </c>
      <c r="H33" t="s">
        <v>9</v>
      </c>
      <c r="I33" t="s">
        <v>10</v>
      </c>
      <c r="J33" t="s">
        <v>10</v>
      </c>
      <c r="K33" t="s">
        <v>9</v>
      </c>
      <c r="L33" t="s">
        <v>9</v>
      </c>
      <c r="M33" t="str">
        <f t="shared" si="1"/>
        <v>No</v>
      </c>
      <c r="N33" t="str">
        <f t="shared" si="2"/>
        <v>Yes</v>
      </c>
      <c r="O33" t="str">
        <f t="shared" si="3"/>
        <v>No</v>
      </c>
      <c r="P33" t="str">
        <f t="shared" si="4"/>
        <v>No</v>
      </c>
      <c r="Q33" t="str">
        <f t="shared" si="5"/>
        <v>Yes</v>
      </c>
    </row>
    <row r="34" spans="1:17" x14ac:dyDescent="0.25">
      <c r="A34" t="s">
        <v>13</v>
      </c>
      <c r="B34" t="str">
        <f t="shared" si="0"/>
        <v>P-033</v>
      </c>
      <c r="C34" t="s">
        <v>7</v>
      </c>
      <c r="D34">
        <v>3</v>
      </c>
      <c r="E34">
        <v>2</v>
      </c>
      <c r="F34">
        <v>175000</v>
      </c>
      <c r="G34" t="s">
        <v>9</v>
      </c>
      <c r="H34" t="s">
        <v>9</v>
      </c>
      <c r="I34" t="s">
        <v>10</v>
      </c>
      <c r="J34" t="s">
        <v>10</v>
      </c>
      <c r="K34" t="s">
        <v>9</v>
      </c>
      <c r="L34" t="s">
        <v>9</v>
      </c>
      <c r="M34" t="str">
        <f t="shared" si="1"/>
        <v>Yes</v>
      </c>
      <c r="N34" t="str">
        <f t="shared" si="2"/>
        <v>Yes</v>
      </c>
      <c r="O34" t="str">
        <f t="shared" si="3"/>
        <v>No</v>
      </c>
      <c r="P34" t="str">
        <f t="shared" si="4"/>
        <v>No</v>
      </c>
      <c r="Q34" t="str">
        <f t="shared" si="5"/>
        <v>Yes</v>
      </c>
    </row>
    <row r="35" spans="1:17" x14ac:dyDescent="0.25">
      <c r="A35" t="s">
        <v>13</v>
      </c>
      <c r="B35" t="str">
        <f t="shared" si="0"/>
        <v>P-034</v>
      </c>
      <c r="C35" t="s">
        <v>7</v>
      </c>
      <c r="D35">
        <v>2</v>
      </c>
      <c r="E35">
        <v>2</v>
      </c>
      <c r="F35">
        <v>150000</v>
      </c>
      <c r="G35" t="s">
        <v>9</v>
      </c>
      <c r="H35" t="s">
        <v>9</v>
      </c>
      <c r="I35" t="s">
        <v>10</v>
      </c>
      <c r="J35" t="s">
        <v>10</v>
      </c>
      <c r="K35" t="s">
        <v>9</v>
      </c>
      <c r="L35" t="s">
        <v>9</v>
      </c>
      <c r="M35" t="str">
        <f t="shared" si="1"/>
        <v>Yes</v>
      </c>
      <c r="N35" t="str">
        <f t="shared" si="2"/>
        <v>Yes</v>
      </c>
      <c r="O35" t="str">
        <f t="shared" si="3"/>
        <v>No</v>
      </c>
      <c r="P35" t="str">
        <f t="shared" si="4"/>
        <v>No</v>
      </c>
      <c r="Q35" t="str">
        <f t="shared" si="5"/>
        <v>Yes</v>
      </c>
    </row>
    <row r="36" spans="1:17" x14ac:dyDescent="0.25">
      <c r="A36" t="s">
        <v>13</v>
      </c>
      <c r="B36" t="str">
        <f t="shared" si="0"/>
        <v>P-035</v>
      </c>
      <c r="C36" t="s">
        <v>40</v>
      </c>
      <c r="D36">
        <v>4</v>
      </c>
      <c r="E36">
        <v>3</v>
      </c>
      <c r="F36">
        <v>130000</v>
      </c>
      <c r="G36" t="s">
        <v>10</v>
      </c>
      <c r="H36" t="s">
        <v>9</v>
      </c>
      <c r="I36" t="s">
        <v>10</v>
      </c>
      <c r="J36" t="s">
        <v>10</v>
      </c>
      <c r="K36" t="s">
        <v>9</v>
      </c>
      <c r="L36" t="s">
        <v>9</v>
      </c>
      <c r="M36" t="str">
        <f t="shared" si="1"/>
        <v>No</v>
      </c>
      <c r="N36" t="str">
        <f t="shared" si="2"/>
        <v>Yes</v>
      </c>
      <c r="O36" t="str">
        <f t="shared" si="3"/>
        <v>No</v>
      </c>
      <c r="P36" t="str">
        <f t="shared" si="4"/>
        <v>No</v>
      </c>
      <c r="Q36" t="str">
        <f t="shared" si="5"/>
        <v>Yes</v>
      </c>
    </row>
    <row r="37" spans="1:17" x14ac:dyDescent="0.25">
      <c r="A37" t="s">
        <v>13</v>
      </c>
      <c r="B37" t="str">
        <f t="shared" si="0"/>
        <v>P-036</v>
      </c>
      <c r="C37" t="s">
        <v>7</v>
      </c>
      <c r="D37">
        <v>1</v>
      </c>
      <c r="E37">
        <v>1</v>
      </c>
      <c r="F37">
        <v>75000</v>
      </c>
      <c r="G37" t="s">
        <v>10</v>
      </c>
      <c r="H37" t="s">
        <v>9</v>
      </c>
      <c r="I37" t="s">
        <v>9</v>
      </c>
      <c r="J37" t="s">
        <v>9</v>
      </c>
      <c r="K37" t="s">
        <v>9</v>
      </c>
      <c r="L37" t="s">
        <v>9</v>
      </c>
      <c r="M37" t="str">
        <f t="shared" si="1"/>
        <v>No</v>
      </c>
      <c r="N37" t="str">
        <f t="shared" si="2"/>
        <v>Yes</v>
      </c>
      <c r="O37" t="str">
        <f t="shared" si="3"/>
        <v>Yes</v>
      </c>
      <c r="P37" t="str">
        <f t="shared" si="4"/>
        <v>Yes</v>
      </c>
      <c r="Q37" t="str">
        <f t="shared" si="5"/>
        <v>Yes</v>
      </c>
    </row>
    <row r="38" spans="1:17" x14ac:dyDescent="0.25">
      <c r="A38" t="s">
        <v>13</v>
      </c>
      <c r="B38" t="str">
        <f t="shared" si="0"/>
        <v>P-037</v>
      </c>
      <c r="C38" t="s">
        <v>7</v>
      </c>
      <c r="D38">
        <v>4</v>
      </c>
      <c r="E38">
        <v>4</v>
      </c>
      <c r="F38">
        <v>165000</v>
      </c>
      <c r="G38" t="s">
        <v>10</v>
      </c>
      <c r="H38" t="s">
        <v>9</v>
      </c>
      <c r="I38" t="s">
        <v>9</v>
      </c>
      <c r="J38" t="s">
        <v>9</v>
      </c>
      <c r="K38" t="s">
        <v>9</v>
      </c>
      <c r="L38" t="s">
        <v>9</v>
      </c>
      <c r="M38" t="str">
        <f t="shared" si="1"/>
        <v>No</v>
      </c>
      <c r="N38" t="str">
        <f t="shared" si="2"/>
        <v>Yes</v>
      </c>
      <c r="O38" t="str">
        <f t="shared" si="3"/>
        <v>Yes</v>
      </c>
      <c r="P38" t="str">
        <f t="shared" si="4"/>
        <v>Yes</v>
      </c>
      <c r="Q38" t="str">
        <f t="shared" si="5"/>
        <v>Yes</v>
      </c>
    </row>
    <row r="39" spans="1:17" x14ac:dyDescent="0.25">
      <c r="A39" t="s">
        <v>13</v>
      </c>
      <c r="B39" t="str">
        <f t="shared" si="0"/>
        <v>P-038</v>
      </c>
      <c r="C39" t="s">
        <v>7</v>
      </c>
      <c r="D39">
        <v>1</v>
      </c>
      <c r="E39">
        <v>1</v>
      </c>
      <c r="F39">
        <v>160000</v>
      </c>
      <c r="G39" t="s">
        <v>9</v>
      </c>
      <c r="H39" t="s">
        <v>9</v>
      </c>
      <c r="I39" t="s">
        <v>9</v>
      </c>
      <c r="J39" t="s">
        <v>9</v>
      </c>
      <c r="K39" t="s">
        <v>9</v>
      </c>
      <c r="L39" t="s">
        <v>9</v>
      </c>
      <c r="M39" t="str">
        <f t="shared" si="1"/>
        <v>Yes</v>
      </c>
      <c r="N39" t="str">
        <f t="shared" si="2"/>
        <v>Yes</v>
      </c>
      <c r="O39" t="str">
        <f t="shared" si="3"/>
        <v>Yes</v>
      </c>
      <c r="P39" t="str">
        <f t="shared" si="4"/>
        <v>Yes</v>
      </c>
      <c r="Q39" t="str">
        <f t="shared" si="5"/>
        <v>Yes</v>
      </c>
    </row>
    <row r="40" spans="1:17" x14ac:dyDescent="0.25">
      <c r="A40" t="s">
        <v>13</v>
      </c>
      <c r="B40" t="str">
        <f t="shared" si="0"/>
        <v>P-039</v>
      </c>
      <c r="C40" t="s">
        <v>7</v>
      </c>
      <c r="D40">
        <v>2</v>
      </c>
      <c r="E40">
        <v>3</v>
      </c>
      <c r="F40">
        <v>90000</v>
      </c>
      <c r="G40" t="s">
        <v>10</v>
      </c>
      <c r="H40" t="s">
        <v>9</v>
      </c>
      <c r="I40" t="s">
        <v>9</v>
      </c>
      <c r="J40" t="s">
        <v>9</v>
      </c>
      <c r="K40" t="s">
        <v>9</v>
      </c>
      <c r="L40" t="s">
        <v>9</v>
      </c>
      <c r="M40" t="str">
        <f t="shared" si="1"/>
        <v>No</v>
      </c>
      <c r="N40" t="str">
        <f t="shared" si="2"/>
        <v>Yes</v>
      </c>
      <c r="O40" t="str">
        <f t="shared" si="3"/>
        <v>Yes</v>
      </c>
      <c r="P40" t="str">
        <f t="shared" si="4"/>
        <v>Yes</v>
      </c>
      <c r="Q40" t="str">
        <f t="shared" si="5"/>
        <v>Yes</v>
      </c>
    </row>
    <row r="41" spans="1:17" x14ac:dyDescent="0.25">
      <c r="A41" t="s">
        <v>13</v>
      </c>
      <c r="B41" t="str">
        <f t="shared" si="0"/>
        <v>P-040</v>
      </c>
      <c r="C41" t="s">
        <v>7</v>
      </c>
      <c r="D41">
        <v>3</v>
      </c>
      <c r="E41">
        <v>4</v>
      </c>
      <c r="F41">
        <v>140000</v>
      </c>
      <c r="G41" t="s">
        <v>10</v>
      </c>
      <c r="H41" t="s">
        <v>9</v>
      </c>
      <c r="I41" t="s">
        <v>9</v>
      </c>
      <c r="J41" t="s">
        <v>9</v>
      </c>
      <c r="K41" t="s">
        <v>9</v>
      </c>
      <c r="L41" t="s">
        <v>9</v>
      </c>
      <c r="M41" t="str">
        <f t="shared" si="1"/>
        <v>No</v>
      </c>
      <c r="N41" t="str">
        <f t="shared" si="2"/>
        <v>Yes</v>
      </c>
      <c r="O41" t="str">
        <f t="shared" si="3"/>
        <v>Yes</v>
      </c>
      <c r="P41" t="str">
        <f t="shared" si="4"/>
        <v>Yes</v>
      </c>
      <c r="Q41" t="str">
        <f t="shared" si="5"/>
        <v>Yes</v>
      </c>
    </row>
    <row r="42" spans="1:17" x14ac:dyDescent="0.25">
      <c r="A42" t="s">
        <v>13</v>
      </c>
      <c r="B42" t="str">
        <f t="shared" si="0"/>
        <v>P-041</v>
      </c>
      <c r="C42" t="s">
        <v>7</v>
      </c>
      <c r="D42">
        <v>1</v>
      </c>
      <c r="E42">
        <v>1</v>
      </c>
      <c r="F42">
        <v>60000</v>
      </c>
      <c r="G42" t="s">
        <v>10</v>
      </c>
      <c r="H42" t="s">
        <v>9</v>
      </c>
      <c r="I42" t="s">
        <v>9</v>
      </c>
      <c r="J42" t="s">
        <v>10</v>
      </c>
      <c r="K42" t="s">
        <v>9</v>
      </c>
      <c r="L42" t="s">
        <v>9</v>
      </c>
      <c r="M42" t="str">
        <f t="shared" si="1"/>
        <v>No</v>
      </c>
      <c r="N42" t="str">
        <f t="shared" si="2"/>
        <v>Yes</v>
      </c>
      <c r="O42" t="str">
        <f t="shared" si="3"/>
        <v>Yes</v>
      </c>
      <c r="P42" t="str">
        <f t="shared" si="4"/>
        <v>No</v>
      </c>
      <c r="Q42" t="str">
        <f t="shared" si="5"/>
        <v>Yes</v>
      </c>
    </row>
    <row r="43" spans="1:17" x14ac:dyDescent="0.25">
      <c r="A43" t="s">
        <v>13</v>
      </c>
      <c r="B43" t="str">
        <f t="shared" si="0"/>
        <v>P-042</v>
      </c>
      <c r="C43" t="s">
        <v>7</v>
      </c>
      <c r="D43">
        <v>1</v>
      </c>
      <c r="E43">
        <v>2</v>
      </c>
      <c r="F43">
        <v>150000</v>
      </c>
      <c r="G43" t="s">
        <v>9</v>
      </c>
      <c r="H43" t="s">
        <v>9</v>
      </c>
      <c r="I43" t="s">
        <v>9</v>
      </c>
      <c r="J43" t="s">
        <v>9</v>
      </c>
      <c r="K43" t="s">
        <v>9</v>
      </c>
      <c r="L43" t="s">
        <v>9</v>
      </c>
      <c r="M43" t="str">
        <f t="shared" si="1"/>
        <v>Yes</v>
      </c>
      <c r="N43" t="str">
        <f t="shared" si="2"/>
        <v>Yes</v>
      </c>
      <c r="O43" t="str">
        <f t="shared" si="3"/>
        <v>Yes</v>
      </c>
      <c r="P43" t="str">
        <f t="shared" si="4"/>
        <v>Yes</v>
      </c>
      <c r="Q43" t="str">
        <f t="shared" si="5"/>
        <v>Yes</v>
      </c>
    </row>
    <row r="44" spans="1:17" x14ac:dyDescent="0.25">
      <c r="A44" t="s">
        <v>13</v>
      </c>
      <c r="B44" t="str">
        <f t="shared" si="0"/>
        <v>P-043</v>
      </c>
      <c r="C44" t="s">
        <v>7</v>
      </c>
      <c r="D44">
        <v>1</v>
      </c>
      <c r="E44">
        <v>2</v>
      </c>
      <c r="F44">
        <v>130000</v>
      </c>
      <c r="G44" t="s">
        <v>9</v>
      </c>
      <c r="H44" t="s">
        <v>9</v>
      </c>
      <c r="I44" t="s">
        <v>9</v>
      </c>
      <c r="J44" t="s">
        <v>9</v>
      </c>
      <c r="K44" t="s">
        <v>9</v>
      </c>
      <c r="L44" t="s">
        <v>9</v>
      </c>
      <c r="M44" t="str">
        <f t="shared" si="1"/>
        <v>Yes</v>
      </c>
      <c r="N44" t="str">
        <f t="shared" si="2"/>
        <v>Yes</v>
      </c>
      <c r="O44" t="str">
        <f t="shared" si="3"/>
        <v>Yes</v>
      </c>
      <c r="P44" t="str">
        <f t="shared" si="4"/>
        <v>Yes</v>
      </c>
      <c r="Q44" t="str">
        <f t="shared" si="5"/>
        <v>Yes</v>
      </c>
    </row>
    <row r="45" spans="1:17" x14ac:dyDescent="0.25">
      <c r="A45" t="s">
        <v>13</v>
      </c>
      <c r="B45" t="str">
        <f t="shared" si="0"/>
        <v>P-044</v>
      </c>
      <c r="C45" t="s">
        <v>7</v>
      </c>
      <c r="D45">
        <v>1</v>
      </c>
      <c r="E45">
        <v>2</v>
      </c>
      <c r="F45">
        <v>120000</v>
      </c>
      <c r="G45" t="s">
        <v>9</v>
      </c>
      <c r="H45" t="s">
        <v>9</v>
      </c>
      <c r="I45" t="s">
        <v>9</v>
      </c>
      <c r="J45" t="s">
        <v>9</v>
      </c>
      <c r="K45" t="s">
        <v>9</v>
      </c>
      <c r="L45" t="s">
        <v>9</v>
      </c>
      <c r="M45" t="str">
        <f t="shared" si="1"/>
        <v>Yes</v>
      </c>
      <c r="N45" t="str">
        <f t="shared" si="2"/>
        <v>Yes</v>
      </c>
      <c r="O45" t="str">
        <f t="shared" si="3"/>
        <v>Yes</v>
      </c>
      <c r="P45" t="str">
        <f t="shared" si="4"/>
        <v>Yes</v>
      </c>
      <c r="Q45" t="str">
        <f t="shared" si="5"/>
        <v>Yes</v>
      </c>
    </row>
    <row r="46" spans="1:17" x14ac:dyDescent="0.25">
      <c r="A46" t="s">
        <v>13</v>
      </c>
      <c r="B46" t="str">
        <f t="shared" si="0"/>
        <v>P-045</v>
      </c>
      <c r="C46" t="s">
        <v>7</v>
      </c>
      <c r="D46">
        <v>4</v>
      </c>
      <c r="E46">
        <v>4</v>
      </c>
      <c r="F46">
        <v>160000</v>
      </c>
      <c r="G46" t="s">
        <v>10</v>
      </c>
      <c r="H46" t="s">
        <v>9</v>
      </c>
      <c r="I46" t="s">
        <v>9</v>
      </c>
      <c r="J46" t="s">
        <v>9</v>
      </c>
      <c r="K46" t="s">
        <v>9</v>
      </c>
      <c r="L46" t="s">
        <v>9</v>
      </c>
      <c r="M46" t="str">
        <f t="shared" si="1"/>
        <v>No</v>
      </c>
      <c r="N46" t="str">
        <f t="shared" si="2"/>
        <v>Yes</v>
      </c>
      <c r="O46" t="str">
        <f t="shared" si="3"/>
        <v>Yes</v>
      </c>
      <c r="P46" t="str">
        <f t="shared" si="4"/>
        <v>Yes</v>
      </c>
      <c r="Q46" t="str">
        <f t="shared" si="5"/>
        <v>Yes</v>
      </c>
    </row>
    <row r="47" spans="1:17" x14ac:dyDescent="0.25">
      <c r="A47" t="s">
        <v>13</v>
      </c>
      <c r="B47" t="str">
        <f t="shared" si="0"/>
        <v>P-046</v>
      </c>
      <c r="C47" t="s">
        <v>7</v>
      </c>
      <c r="D47">
        <v>2</v>
      </c>
      <c r="E47">
        <v>2</v>
      </c>
      <c r="F47">
        <v>120000</v>
      </c>
      <c r="G47" t="s">
        <v>9</v>
      </c>
      <c r="H47" t="s">
        <v>9</v>
      </c>
      <c r="I47" t="s">
        <v>9</v>
      </c>
      <c r="J47" t="s">
        <v>9</v>
      </c>
      <c r="K47" t="s">
        <v>9</v>
      </c>
      <c r="L47" t="s">
        <v>9</v>
      </c>
      <c r="M47" t="str">
        <f t="shared" si="1"/>
        <v>Yes</v>
      </c>
      <c r="N47" t="str">
        <f t="shared" si="2"/>
        <v>Yes</v>
      </c>
      <c r="O47" t="str">
        <f t="shared" si="3"/>
        <v>Yes</v>
      </c>
      <c r="P47" t="str">
        <f t="shared" si="4"/>
        <v>Yes</v>
      </c>
      <c r="Q47" t="str">
        <f t="shared" si="5"/>
        <v>Yes</v>
      </c>
    </row>
    <row r="48" spans="1:17" x14ac:dyDescent="0.25">
      <c r="A48" t="s">
        <v>13</v>
      </c>
      <c r="B48" t="str">
        <f t="shared" si="0"/>
        <v>P-047</v>
      </c>
      <c r="C48" t="s">
        <v>7</v>
      </c>
      <c r="D48">
        <v>4</v>
      </c>
      <c r="E48">
        <v>4</v>
      </c>
      <c r="F48">
        <v>180000</v>
      </c>
      <c r="G48" t="s">
        <v>10</v>
      </c>
      <c r="H48" t="s">
        <v>9</v>
      </c>
      <c r="I48" t="s">
        <v>9</v>
      </c>
      <c r="J48" t="s">
        <v>10</v>
      </c>
      <c r="K48" t="s">
        <v>9</v>
      </c>
      <c r="L48" t="s">
        <v>9</v>
      </c>
      <c r="M48" t="str">
        <f t="shared" si="1"/>
        <v>No</v>
      </c>
      <c r="N48" t="str">
        <f t="shared" si="2"/>
        <v>Yes</v>
      </c>
      <c r="O48" t="str">
        <f t="shared" si="3"/>
        <v>Yes</v>
      </c>
      <c r="P48" t="str">
        <f t="shared" si="4"/>
        <v>No</v>
      </c>
      <c r="Q48" t="str">
        <f t="shared" si="5"/>
        <v>Yes</v>
      </c>
    </row>
    <row r="49" spans="1:17" x14ac:dyDescent="0.25">
      <c r="A49" t="s">
        <v>13</v>
      </c>
      <c r="B49" t="str">
        <f t="shared" si="0"/>
        <v>P-048</v>
      </c>
      <c r="C49" t="s">
        <v>7</v>
      </c>
      <c r="D49">
        <v>2</v>
      </c>
      <c r="E49">
        <v>3</v>
      </c>
      <c r="F49">
        <v>120000</v>
      </c>
      <c r="G49" t="s">
        <v>10</v>
      </c>
      <c r="H49" t="s">
        <v>9</v>
      </c>
      <c r="I49" t="s">
        <v>9</v>
      </c>
      <c r="J49" t="s">
        <v>9</v>
      </c>
      <c r="K49" t="s">
        <v>9</v>
      </c>
      <c r="L49" t="s">
        <v>9</v>
      </c>
      <c r="M49" t="str">
        <f t="shared" si="1"/>
        <v>No</v>
      </c>
      <c r="N49" t="str">
        <f t="shared" si="2"/>
        <v>Yes</v>
      </c>
      <c r="O49" t="str">
        <f t="shared" si="3"/>
        <v>Yes</v>
      </c>
      <c r="P49" t="str">
        <f t="shared" si="4"/>
        <v>Yes</v>
      </c>
      <c r="Q49" t="str">
        <f t="shared" si="5"/>
        <v>Yes</v>
      </c>
    </row>
    <row r="50" spans="1:17" x14ac:dyDescent="0.25">
      <c r="A50" t="s">
        <v>13</v>
      </c>
      <c r="B50" t="str">
        <f t="shared" si="0"/>
        <v>P-049</v>
      </c>
      <c r="C50" t="s">
        <v>7</v>
      </c>
      <c r="D50">
        <v>1</v>
      </c>
      <c r="E50">
        <v>1</v>
      </c>
      <c r="F50">
        <v>90000</v>
      </c>
      <c r="G50" t="s">
        <v>9</v>
      </c>
      <c r="H50" t="s">
        <v>9</v>
      </c>
      <c r="I50" t="s">
        <v>9</v>
      </c>
      <c r="J50" t="s">
        <v>10</v>
      </c>
      <c r="K50" t="s">
        <v>9</v>
      </c>
      <c r="L50" t="s">
        <v>9</v>
      </c>
      <c r="M50" t="str">
        <f t="shared" si="1"/>
        <v>Yes</v>
      </c>
      <c r="N50" t="str">
        <f t="shared" si="2"/>
        <v>Yes</v>
      </c>
      <c r="O50" t="str">
        <f t="shared" si="3"/>
        <v>Yes</v>
      </c>
      <c r="P50" t="str">
        <f t="shared" si="4"/>
        <v>No</v>
      </c>
      <c r="Q50" t="str">
        <f t="shared" si="5"/>
        <v>Yes</v>
      </c>
    </row>
    <row r="51" spans="1:17" x14ac:dyDescent="0.25">
      <c r="A51" t="s">
        <v>13</v>
      </c>
      <c r="B51" t="str">
        <f t="shared" si="0"/>
        <v>P-050</v>
      </c>
      <c r="C51" t="s">
        <v>7</v>
      </c>
      <c r="D51">
        <v>3</v>
      </c>
      <c r="E51">
        <v>3</v>
      </c>
      <c r="F51">
        <v>150000</v>
      </c>
      <c r="G51" t="s">
        <v>10</v>
      </c>
      <c r="H51" t="s">
        <v>9</v>
      </c>
      <c r="I51" t="s">
        <v>9</v>
      </c>
      <c r="J51" t="s">
        <v>10</v>
      </c>
      <c r="K51" t="s">
        <v>9</v>
      </c>
      <c r="L51" t="s">
        <v>9</v>
      </c>
      <c r="M51" t="str">
        <f t="shared" si="1"/>
        <v>No</v>
      </c>
      <c r="N51" t="str">
        <f t="shared" si="2"/>
        <v>Yes</v>
      </c>
      <c r="O51" t="str">
        <f t="shared" si="3"/>
        <v>Yes</v>
      </c>
      <c r="P51" t="str">
        <f t="shared" si="4"/>
        <v>No</v>
      </c>
      <c r="Q51" t="str">
        <f t="shared" si="5"/>
        <v>Yes</v>
      </c>
    </row>
    <row r="52" spans="1:17" x14ac:dyDescent="0.25">
      <c r="A52" t="s">
        <v>16</v>
      </c>
      <c r="B52" t="str">
        <f t="shared" si="0"/>
        <v>P-051</v>
      </c>
      <c r="C52" t="s">
        <v>7</v>
      </c>
      <c r="D52">
        <v>2</v>
      </c>
      <c r="E52">
        <v>2</v>
      </c>
      <c r="F52">
        <v>200000</v>
      </c>
      <c r="G52" t="s">
        <v>9</v>
      </c>
      <c r="H52" t="s">
        <v>9</v>
      </c>
      <c r="I52" t="s">
        <v>9</v>
      </c>
      <c r="J52" t="s">
        <v>9</v>
      </c>
      <c r="K52" t="s">
        <v>9</v>
      </c>
      <c r="L52" t="s">
        <v>9</v>
      </c>
      <c r="M52" t="str">
        <f t="shared" si="1"/>
        <v>Yes</v>
      </c>
      <c r="N52" t="str">
        <f t="shared" si="2"/>
        <v>Yes</v>
      </c>
      <c r="O52" t="str">
        <f t="shared" si="3"/>
        <v>Yes</v>
      </c>
      <c r="P52" t="str">
        <f t="shared" si="4"/>
        <v>Yes</v>
      </c>
      <c r="Q52" t="str">
        <f t="shared" si="5"/>
        <v>Yes</v>
      </c>
    </row>
    <row r="53" spans="1:17" x14ac:dyDescent="0.25">
      <c r="A53" t="s">
        <v>16</v>
      </c>
      <c r="B53" t="str">
        <f t="shared" si="0"/>
        <v>P-052</v>
      </c>
      <c r="C53" t="s">
        <v>7</v>
      </c>
      <c r="D53">
        <v>2</v>
      </c>
      <c r="E53">
        <v>2</v>
      </c>
      <c r="F53">
        <v>85000</v>
      </c>
      <c r="G53" t="s">
        <v>9</v>
      </c>
      <c r="H53" t="s">
        <v>9</v>
      </c>
      <c r="I53" t="s">
        <v>9</v>
      </c>
      <c r="J53" t="s">
        <v>9</v>
      </c>
      <c r="K53" t="s">
        <v>9</v>
      </c>
      <c r="L53" t="s">
        <v>9</v>
      </c>
      <c r="M53" t="str">
        <f t="shared" si="1"/>
        <v>Yes</v>
      </c>
      <c r="N53" t="str">
        <f t="shared" si="2"/>
        <v>Yes</v>
      </c>
      <c r="O53" t="str">
        <f t="shared" si="3"/>
        <v>Yes</v>
      </c>
      <c r="P53" t="str">
        <f t="shared" si="4"/>
        <v>Yes</v>
      </c>
      <c r="Q53" t="str">
        <f t="shared" si="5"/>
        <v>Yes</v>
      </c>
    </row>
    <row r="54" spans="1:17" x14ac:dyDescent="0.25">
      <c r="A54" t="s">
        <v>16</v>
      </c>
      <c r="B54" t="str">
        <f t="shared" si="0"/>
        <v>P-053</v>
      </c>
      <c r="C54" t="s">
        <v>14</v>
      </c>
      <c r="D54">
        <v>5</v>
      </c>
      <c r="E54">
        <v>5</v>
      </c>
      <c r="F54">
        <v>300000</v>
      </c>
      <c r="G54" t="s">
        <v>9</v>
      </c>
      <c r="H54" t="s">
        <v>9</v>
      </c>
      <c r="I54" t="s">
        <v>10</v>
      </c>
      <c r="J54" t="s">
        <v>10</v>
      </c>
      <c r="K54" t="s">
        <v>9</v>
      </c>
      <c r="L54" t="s">
        <v>9</v>
      </c>
      <c r="M54" t="str">
        <f t="shared" si="1"/>
        <v>Yes</v>
      </c>
      <c r="N54" t="str">
        <f t="shared" si="2"/>
        <v>Yes</v>
      </c>
      <c r="O54" t="str">
        <f t="shared" si="3"/>
        <v>No</v>
      </c>
      <c r="P54" t="str">
        <f t="shared" si="4"/>
        <v>No</v>
      </c>
      <c r="Q54" t="str">
        <f t="shared" si="5"/>
        <v>Yes</v>
      </c>
    </row>
    <row r="55" spans="1:17" x14ac:dyDescent="0.25">
      <c r="A55" t="s">
        <v>16</v>
      </c>
      <c r="B55" t="str">
        <f t="shared" si="0"/>
        <v>P-054</v>
      </c>
      <c r="C55" t="s">
        <v>7</v>
      </c>
      <c r="D55">
        <v>1</v>
      </c>
      <c r="E55">
        <v>1</v>
      </c>
      <c r="F55">
        <v>60000</v>
      </c>
      <c r="G55" t="s">
        <v>10</v>
      </c>
      <c r="H55" t="s">
        <v>9</v>
      </c>
      <c r="I55" t="s">
        <v>9</v>
      </c>
      <c r="J55" t="s">
        <v>10</v>
      </c>
      <c r="K55" t="s">
        <v>9</v>
      </c>
      <c r="L55" t="s">
        <v>9</v>
      </c>
      <c r="M55" t="str">
        <f t="shared" si="1"/>
        <v>No</v>
      </c>
      <c r="N55" t="str">
        <f t="shared" si="2"/>
        <v>Yes</v>
      </c>
      <c r="O55" t="str">
        <f t="shared" si="3"/>
        <v>Yes</v>
      </c>
      <c r="P55" t="str">
        <f t="shared" si="4"/>
        <v>No</v>
      </c>
      <c r="Q55" t="str">
        <f t="shared" si="5"/>
        <v>Yes</v>
      </c>
    </row>
    <row r="56" spans="1:17" x14ac:dyDescent="0.25">
      <c r="A56" t="s">
        <v>16</v>
      </c>
      <c r="B56" t="str">
        <f t="shared" si="0"/>
        <v>P-055</v>
      </c>
      <c r="C56" t="s">
        <v>7</v>
      </c>
      <c r="D56">
        <v>3</v>
      </c>
      <c r="E56">
        <v>3</v>
      </c>
      <c r="F56">
        <v>110000</v>
      </c>
      <c r="G56" t="s">
        <v>10</v>
      </c>
      <c r="H56" t="s">
        <v>9</v>
      </c>
      <c r="I56" t="s">
        <v>9</v>
      </c>
      <c r="J56" t="s">
        <v>10</v>
      </c>
      <c r="K56" t="s">
        <v>9</v>
      </c>
      <c r="L56" t="s">
        <v>9</v>
      </c>
      <c r="M56" t="str">
        <f t="shared" si="1"/>
        <v>No</v>
      </c>
      <c r="N56" t="str">
        <f t="shared" si="2"/>
        <v>Yes</v>
      </c>
      <c r="O56" t="str">
        <f t="shared" si="3"/>
        <v>Yes</v>
      </c>
      <c r="P56" t="str">
        <f t="shared" si="4"/>
        <v>No</v>
      </c>
      <c r="Q56" t="str">
        <f t="shared" si="5"/>
        <v>Yes</v>
      </c>
    </row>
    <row r="57" spans="1:17" x14ac:dyDescent="0.25">
      <c r="A57" t="s">
        <v>16</v>
      </c>
      <c r="B57" t="str">
        <f t="shared" si="0"/>
        <v>P-056</v>
      </c>
      <c r="C57" t="s">
        <v>7</v>
      </c>
      <c r="D57">
        <v>1</v>
      </c>
      <c r="E57">
        <v>1</v>
      </c>
      <c r="F57">
        <v>65000</v>
      </c>
      <c r="G57" t="s">
        <v>10</v>
      </c>
      <c r="H57" t="s">
        <v>9</v>
      </c>
      <c r="I57" t="s">
        <v>9</v>
      </c>
      <c r="J57" t="s">
        <v>10</v>
      </c>
      <c r="K57" t="s">
        <v>9</v>
      </c>
      <c r="L57" t="s">
        <v>9</v>
      </c>
      <c r="M57" t="str">
        <f t="shared" si="1"/>
        <v>No</v>
      </c>
      <c r="N57" t="str">
        <f t="shared" si="2"/>
        <v>Yes</v>
      </c>
      <c r="O57" t="str">
        <f t="shared" si="3"/>
        <v>Yes</v>
      </c>
      <c r="P57" t="str">
        <f t="shared" si="4"/>
        <v>No</v>
      </c>
      <c r="Q57" t="str">
        <f t="shared" si="5"/>
        <v>Yes</v>
      </c>
    </row>
    <row r="58" spans="1:17" x14ac:dyDescent="0.25">
      <c r="A58" t="s">
        <v>16</v>
      </c>
      <c r="B58" t="str">
        <f t="shared" si="0"/>
        <v>P-057</v>
      </c>
      <c r="C58" t="s">
        <v>7</v>
      </c>
      <c r="D58">
        <v>1</v>
      </c>
      <c r="E58">
        <v>1</v>
      </c>
      <c r="F58">
        <v>85000</v>
      </c>
      <c r="G58" t="s">
        <v>9</v>
      </c>
      <c r="H58" t="s">
        <v>9</v>
      </c>
      <c r="I58" t="s">
        <v>9</v>
      </c>
      <c r="J58" t="s">
        <v>10</v>
      </c>
      <c r="K58" t="s">
        <v>9</v>
      </c>
      <c r="L58" t="s">
        <v>9</v>
      </c>
      <c r="M58" t="str">
        <f t="shared" si="1"/>
        <v>Yes</v>
      </c>
      <c r="N58" t="str">
        <f t="shared" si="2"/>
        <v>Yes</v>
      </c>
      <c r="O58" t="str">
        <f t="shared" si="3"/>
        <v>Yes</v>
      </c>
      <c r="P58" t="str">
        <f t="shared" si="4"/>
        <v>No</v>
      </c>
      <c r="Q58" t="str">
        <f t="shared" si="5"/>
        <v>Yes</v>
      </c>
    </row>
    <row r="59" spans="1:17" x14ac:dyDescent="0.25">
      <c r="A59" t="s">
        <v>16</v>
      </c>
      <c r="B59" t="str">
        <f t="shared" si="0"/>
        <v>P-058</v>
      </c>
      <c r="C59" t="s">
        <v>7</v>
      </c>
      <c r="D59">
        <v>1</v>
      </c>
      <c r="E59">
        <v>1</v>
      </c>
      <c r="F59">
        <v>85000</v>
      </c>
      <c r="G59" t="s">
        <v>9</v>
      </c>
      <c r="H59" t="s">
        <v>9</v>
      </c>
      <c r="I59" t="s">
        <v>9</v>
      </c>
      <c r="J59" t="s">
        <v>10</v>
      </c>
      <c r="K59" t="s">
        <v>9</v>
      </c>
      <c r="L59" t="s">
        <v>9</v>
      </c>
      <c r="M59" t="str">
        <f t="shared" si="1"/>
        <v>Yes</v>
      </c>
      <c r="N59" t="str">
        <f t="shared" si="2"/>
        <v>Yes</v>
      </c>
      <c r="O59" t="str">
        <f t="shared" si="3"/>
        <v>Yes</v>
      </c>
      <c r="P59" t="str">
        <f t="shared" si="4"/>
        <v>No</v>
      </c>
      <c r="Q59" t="str">
        <f t="shared" si="5"/>
        <v>Yes</v>
      </c>
    </row>
    <row r="60" spans="1:17" x14ac:dyDescent="0.25">
      <c r="A60" t="s">
        <v>16</v>
      </c>
      <c r="B60" t="str">
        <f t="shared" si="0"/>
        <v>P-059</v>
      </c>
      <c r="C60" t="s">
        <v>7</v>
      </c>
      <c r="D60">
        <v>2</v>
      </c>
      <c r="E60">
        <v>1</v>
      </c>
      <c r="F60">
        <v>110000</v>
      </c>
      <c r="G60" t="s">
        <v>9</v>
      </c>
      <c r="H60" t="s">
        <v>9</v>
      </c>
      <c r="I60" t="s">
        <v>9</v>
      </c>
      <c r="J60" t="s">
        <v>10</v>
      </c>
      <c r="K60" t="s">
        <v>9</v>
      </c>
      <c r="L60" t="s">
        <v>9</v>
      </c>
      <c r="M60" t="str">
        <f t="shared" si="1"/>
        <v>Yes</v>
      </c>
      <c r="N60" t="str">
        <f t="shared" si="2"/>
        <v>Yes</v>
      </c>
      <c r="O60" t="str">
        <f t="shared" si="3"/>
        <v>Yes</v>
      </c>
      <c r="P60" t="str">
        <f t="shared" si="4"/>
        <v>No</v>
      </c>
      <c r="Q60" t="str">
        <f t="shared" si="5"/>
        <v>Yes</v>
      </c>
    </row>
    <row r="61" spans="1:17" x14ac:dyDescent="0.25">
      <c r="A61" t="s">
        <v>16</v>
      </c>
      <c r="B61" t="str">
        <f t="shared" si="0"/>
        <v>P-060</v>
      </c>
      <c r="C61" t="s">
        <v>7</v>
      </c>
      <c r="D61">
        <v>3</v>
      </c>
      <c r="E61">
        <v>4</v>
      </c>
      <c r="F61">
        <v>160000</v>
      </c>
      <c r="G61" t="s">
        <v>10</v>
      </c>
      <c r="H61" t="s">
        <v>9</v>
      </c>
      <c r="I61" t="s">
        <v>9</v>
      </c>
      <c r="J61" t="s">
        <v>10</v>
      </c>
      <c r="K61" t="s">
        <v>9</v>
      </c>
      <c r="L61" t="s">
        <v>9</v>
      </c>
      <c r="M61" t="str">
        <f t="shared" si="1"/>
        <v>No</v>
      </c>
      <c r="N61" t="str">
        <f t="shared" si="2"/>
        <v>Yes</v>
      </c>
      <c r="O61" t="str">
        <f t="shared" si="3"/>
        <v>Yes</v>
      </c>
      <c r="P61" t="str">
        <f t="shared" si="4"/>
        <v>No</v>
      </c>
      <c r="Q61" t="str">
        <f t="shared" si="5"/>
        <v>Yes</v>
      </c>
    </row>
    <row r="62" spans="1:17" x14ac:dyDescent="0.25">
      <c r="A62" t="s">
        <v>16</v>
      </c>
      <c r="B62" t="str">
        <f t="shared" si="0"/>
        <v>P-061</v>
      </c>
      <c r="C62" t="s">
        <v>7</v>
      </c>
      <c r="D62">
        <v>3</v>
      </c>
      <c r="E62">
        <v>3</v>
      </c>
      <c r="F62">
        <v>520000</v>
      </c>
      <c r="G62" t="s">
        <v>9</v>
      </c>
      <c r="H62" t="s">
        <v>9</v>
      </c>
      <c r="I62" t="s">
        <v>9</v>
      </c>
      <c r="J62" t="s">
        <v>9</v>
      </c>
      <c r="K62" t="s">
        <v>9</v>
      </c>
      <c r="L62" t="s">
        <v>9</v>
      </c>
      <c r="M62" t="str">
        <f t="shared" si="1"/>
        <v>Yes</v>
      </c>
      <c r="N62" t="str">
        <f t="shared" si="2"/>
        <v>Yes</v>
      </c>
      <c r="O62" t="str">
        <f t="shared" si="3"/>
        <v>Yes</v>
      </c>
      <c r="P62" t="str">
        <f t="shared" si="4"/>
        <v>Yes</v>
      </c>
      <c r="Q62" t="str">
        <f t="shared" si="5"/>
        <v>Yes</v>
      </c>
    </row>
    <row r="63" spans="1:17" x14ac:dyDescent="0.25">
      <c r="A63" t="s">
        <v>16</v>
      </c>
      <c r="B63" t="str">
        <f t="shared" si="0"/>
        <v>P-062</v>
      </c>
      <c r="C63" t="s">
        <v>7</v>
      </c>
      <c r="D63">
        <v>2</v>
      </c>
      <c r="E63">
        <v>3</v>
      </c>
      <c r="F63">
        <v>75000</v>
      </c>
      <c r="G63" t="s">
        <v>10</v>
      </c>
      <c r="H63" t="s">
        <v>9</v>
      </c>
      <c r="I63" t="s">
        <v>9</v>
      </c>
      <c r="J63" t="s">
        <v>9</v>
      </c>
      <c r="K63" t="s">
        <v>9</v>
      </c>
      <c r="L63" t="s">
        <v>9</v>
      </c>
      <c r="M63" t="str">
        <f t="shared" si="1"/>
        <v>No</v>
      </c>
      <c r="N63" t="str">
        <f t="shared" si="2"/>
        <v>Yes</v>
      </c>
      <c r="O63" t="str">
        <f t="shared" si="3"/>
        <v>Yes</v>
      </c>
      <c r="P63" t="str">
        <f t="shared" si="4"/>
        <v>Yes</v>
      </c>
      <c r="Q63" t="str">
        <f t="shared" si="5"/>
        <v>Yes</v>
      </c>
    </row>
    <row r="64" spans="1:17" x14ac:dyDescent="0.25">
      <c r="A64" t="s">
        <v>16</v>
      </c>
      <c r="B64" t="str">
        <f t="shared" si="0"/>
        <v>P-063</v>
      </c>
      <c r="C64" t="s">
        <v>7</v>
      </c>
      <c r="D64">
        <v>3</v>
      </c>
      <c r="E64">
        <v>3</v>
      </c>
      <c r="F64">
        <v>85000</v>
      </c>
      <c r="G64" t="s">
        <v>10</v>
      </c>
      <c r="H64" t="s">
        <v>9</v>
      </c>
      <c r="I64" t="s">
        <v>9</v>
      </c>
      <c r="J64" t="s">
        <v>9</v>
      </c>
      <c r="K64" t="s">
        <v>9</v>
      </c>
      <c r="L64" t="s">
        <v>9</v>
      </c>
      <c r="M64" t="str">
        <f t="shared" si="1"/>
        <v>No</v>
      </c>
      <c r="N64" t="str">
        <f t="shared" si="2"/>
        <v>Yes</v>
      </c>
      <c r="O64" t="str">
        <f t="shared" si="3"/>
        <v>Yes</v>
      </c>
      <c r="P64" t="str">
        <f t="shared" si="4"/>
        <v>Yes</v>
      </c>
      <c r="Q64" t="str">
        <f t="shared" si="5"/>
        <v>Yes</v>
      </c>
    </row>
    <row r="65" spans="1:17" x14ac:dyDescent="0.25">
      <c r="A65" t="s">
        <v>16</v>
      </c>
      <c r="B65" t="str">
        <f t="shared" si="0"/>
        <v>P-064</v>
      </c>
      <c r="C65" t="s">
        <v>7</v>
      </c>
      <c r="D65">
        <v>2</v>
      </c>
      <c r="E65">
        <v>2</v>
      </c>
      <c r="F65">
        <v>80000</v>
      </c>
      <c r="G65" t="s">
        <v>9</v>
      </c>
      <c r="H65" t="s">
        <v>9</v>
      </c>
      <c r="I65" t="s">
        <v>9</v>
      </c>
      <c r="J65" t="s">
        <v>9</v>
      </c>
      <c r="K65" t="s">
        <v>9</v>
      </c>
      <c r="L65" t="s">
        <v>9</v>
      </c>
      <c r="M65" t="str">
        <f t="shared" si="1"/>
        <v>Yes</v>
      </c>
      <c r="N65" t="str">
        <f t="shared" si="2"/>
        <v>Yes</v>
      </c>
      <c r="O65" t="str">
        <f t="shared" si="3"/>
        <v>Yes</v>
      </c>
      <c r="P65" t="str">
        <f t="shared" si="4"/>
        <v>Yes</v>
      </c>
      <c r="Q65" t="str">
        <f t="shared" si="5"/>
        <v>Yes</v>
      </c>
    </row>
    <row r="66" spans="1:17" x14ac:dyDescent="0.25">
      <c r="A66" t="s">
        <v>16</v>
      </c>
      <c r="B66" t="str">
        <f t="shared" ref="B66:B129" si="6">"P-"&amp;TEXT(ROW(A66)-1,"000")</f>
        <v>P-065</v>
      </c>
      <c r="C66" t="s">
        <v>7</v>
      </c>
      <c r="D66">
        <v>1</v>
      </c>
      <c r="E66">
        <v>1</v>
      </c>
      <c r="F66">
        <v>60000</v>
      </c>
      <c r="G66" t="s">
        <v>10</v>
      </c>
      <c r="H66" t="s">
        <v>9</v>
      </c>
      <c r="I66" t="s">
        <v>9</v>
      </c>
      <c r="J66" t="s">
        <v>9</v>
      </c>
      <c r="K66" t="s">
        <v>9</v>
      </c>
      <c r="L66" t="s">
        <v>9</v>
      </c>
      <c r="M66" t="str">
        <f t="shared" ref="M66:M129" si="7">PROPER(TRIM(G66))</f>
        <v>No</v>
      </c>
      <c r="N66" t="str">
        <f t="shared" ref="N66:N129" si="8">PROPER(TRIM(H66))</f>
        <v>Yes</v>
      </c>
      <c r="O66" t="str">
        <f t="shared" ref="O66:O129" si="9">PROPER(TRIM(I66))</f>
        <v>Yes</v>
      </c>
      <c r="P66" t="str">
        <f t="shared" ref="P66:P129" si="10">PROPER(TRIM(J66))</f>
        <v>Yes</v>
      </c>
      <c r="Q66" t="str">
        <f t="shared" ref="Q66:Q129" si="11">PROPER(TRIM(L66))</f>
        <v>Yes</v>
      </c>
    </row>
    <row r="67" spans="1:17" x14ac:dyDescent="0.25">
      <c r="A67" t="s">
        <v>16</v>
      </c>
      <c r="B67" t="str">
        <f t="shared" si="6"/>
        <v>P-066</v>
      </c>
      <c r="C67" t="s">
        <v>7</v>
      </c>
      <c r="D67">
        <v>2</v>
      </c>
      <c r="E67">
        <v>2</v>
      </c>
      <c r="F67">
        <v>200000</v>
      </c>
      <c r="G67" t="s">
        <v>9</v>
      </c>
      <c r="H67" t="s">
        <v>9</v>
      </c>
      <c r="I67" t="s">
        <v>9</v>
      </c>
      <c r="J67" t="s">
        <v>9</v>
      </c>
      <c r="K67" t="s">
        <v>9</v>
      </c>
      <c r="L67" t="s">
        <v>9</v>
      </c>
      <c r="M67" t="str">
        <f t="shared" si="7"/>
        <v>Yes</v>
      </c>
      <c r="N67" t="str">
        <f t="shared" si="8"/>
        <v>Yes</v>
      </c>
      <c r="O67" t="str">
        <f t="shared" si="9"/>
        <v>Yes</v>
      </c>
      <c r="P67" t="str">
        <f t="shared" si="10"/>
        <v>Yes</v>
      </c>
      <c r="Q67" t="str">
        <f t="shared" si="11"/>
        <v>Yes</v>
      </c>
    </row>
    <row r="68" spans="1:17" x14ac:dyDescent="0.25">
      <c r="A68" t="s">
        <v>16</v>
      </c>
      <c r="B68" t="str">
        <f t="shared" si="6"/>
        <v>P-067</v>
      </c>
      <c r="C68" t="s">
        <v>7</v>
      </c>
      <c r="D68">
        <v>2</v>
      </c>
      <c r="E68">
        <v>2</v>
      </c>
      <c r="F68">
        <v>200000</v>
      </c>
      <c r="G68" t="s">
        <v>10</v>
      </c>
      <c r="H68" t="s">
        <v>9</v>
      </c>
      <c r="I68" t="s">
        <v>10</v>
      </c>
      <c r="J68" t="s">
        <v>9</v>
      </c>
      <c r="K68" t="s">
        <v>9</v>
      </c>
      <c r="L68" t="s">
        <v>9</v>
      </c>
      <c r="M68" t="str">
        <f t="shared" si="7"/>
        <v>No</v>
      </c>
      <c r="N68" t="str">
        <f t="shared" si="8"/>
        <v>Yes</v>
      </c>
      <c r="O68" t="str">
        <f t="shared" si="9"/>
        <v>No</v>
      </c>
      <c r="P68" t="str">
        <f t="shared" si="10"/>
        <v>Yes</v>
      </c>
      <c r="Q68" t="str">
        <f t="shared" si="11"/>
        <v>Yes</v>
      </c>
    </row>
    <row r="69" spans="1:17" x14ac:dyDescent="0.25">
      <c r="A69" t="s">
        <v>16</v>
      </c>
      <c r="B69" t="str">
        <f t="shared" si="6"/>
        <v>P-068</v>
      </c>
      <c r="C69" t="s">
        <v>7</v>
      </c>
      <c r="D69">
        <v>2</v>
      </c>
      <c r="E69">
        <v>2</v>
      </c>
      <c r="F69">
        <v>80000</v>
      </c>
      <c r="G69" t="s">
        <v>10</v>
      </c>
      <c r="H69" t="s">
        <v>9</v>
      </c>
      <c r="I69" t="s">
        <v>9</v>
      </c>
      <c r="J69" t="s">
        <v>9</v>
      </c>
      <c r="K69" t="s">
        <v>9</v>
      </c>
      <c r="L69" t="s">
        <v>9</v>
      </c>
      <c r="M69" t="str">
        <f t="shared" si="7"/>
        <v>No</v>
      </c>
      <c r="N69" t="str">
        <f t="shared" si="8"/>
        <v>Yes</v>
      </c>
      <c r="O69" t="str">
        <f t="shared" si="9"/>
        <v>Yes</v>
      </c>
      <c r="P69" t="str">
        <f t="shared" si="10"/>
        <v>Yes</v>
      </c>
      <c r="Q69" t="str">
        <f t="shared" si="11"/>
        <v>Yes</v>
      </c>
    </row>
    <row r="70" spans="1:17" x14ac:dyDescent="0.25">
      <c r="A70" t="s">
        <v>16</v>
      </c>
      <c r="B70" t="str">
        <f t="shared" si="6"/>
        <v>P-069</v>
      </c>
      <c r="C70" t="s">
        <v>7</v>
      </c>
      <c r="D70">
        <v>5</v>
      </c>
      <c r="E70">
        <v>5</v>
      </c>
      <c r="F70">
        <v>400000</v>
      </c>
      <c r="G70" t="s">
        <v>10</v>
      </c>
      <c r="H70" t="s">
        <v>9</v>
      </c>
      <c r="I70" t="s">
        <v>10</v>
      </c>
      <c r="J70" t="s">
        <v>10</v>
      </c>
      <c r="K70" t="s">
        <v>9</v>
      </c>
      <c r="L70" t="s">
        <v>9</v>
      </c>
      <c r="M70" t="str">
        <f t="shared" si="7"/>
        <v>No</v>
      </c>
      <c r="N70" t="str">
        <f t="shared" si="8"/>
        <v>Yes</v>
      </c>
      <c r="O70" t="str">
        <f t="shared" si="9"/>
        <v>No</v>
      </c>
      <c r="P70" t="str">
        <f t="shared" si="10"/>
        <v>No</v>
      </c>
      <c r="Q70" t="str">
        <f t="shared" si="11"/>
        <v>Yes</v>
      </c>
    </row>
    <row r="71" spans="1:17" x14ac:dyDescent="0.25">
      <c r="A71" t="s">
        <v>16</v>
      </c>
      <c r="B71" t="str">
        <f t="shared" si="6"/>
        <v>P-070</v>
      </c>
      <c r="C71" t="s">
        <v>40</v>
      </c>
      <c r="D71">
        <v>5</v>
      </c>
      <c r="E71">
        <v>6</v>
      </c>
      <c r="F71">
        <v>780000</v>
      </c>
      <c r="G71" t="s">
        <v>10</v>
      </c>
      <c r="H71" t="s">
        <v>9</v>
      </c>
      <c r="I71" t="s">
        <v>10</v>
      </c>
      <c r="J71" t="s">
        <v>9</v>
      </c>
      <c r="K71" t="s">
        <v>9</v>
      </c>
      <c r="L71" t="s">
        <v>9</v>
      </c>
      <c r="M71" t="str">
        <f t="shared" si="7"/>
        <v>No</v>
      </c>
      <c r="N71" t="str">
        <f t="shared" si="8"/>
        <v>Yes</v>
      </c>
      <c r="O71" t="str">
        <f t="shared" si="9"/>
        <v>No</v>
      </c>
      <c r="P71" t="str">
        <f t="shared" si="10"/>
        <v>Yes</v>
      </c>
      <c r="Q71" t="str">
        <f t="shared" si="11"/>
        <v>Yes</v>
      </c>
    </row>
    <row r="72" spans="1:17" x14ac:dyDescent="0.25">
      <c r="A72" t="s">
        <v>16</v>
      </c>
      <c r="B72" t="str">
        <f t="shared" si="6"/>
        <v>P-071</v>
      </c>
      <c r="C72" t="s">
        <v>7</v>
      </c>
      <c r="D72">
        <v>1</v>
      </c>
      <c r="E72">
        <v>1</v>
      </c>
      <c r="F72">
        <v>68000</v>
      </c>
      <c r="G72" t="s">
        <v>10</v>
      </c>
      <c r="H72" t="s">
        <v>9</v>
      </c>
      <c r="I72" t="s">
        <v>9</v>
      </c>
      <c r="J72" t="s">
        <v>9</v>
      </c>
      <c r="K72" t="s">
        <v>9</v>
      </c>
      <c r="L72" t="s">
        <v>9</v>
      </c>
      <c r="M72" t="str">
        <f t="shared" si="7"/>
        <v>No</v>
      </c>
      <c r="N72" t="str">
        <f t="shared" si="8"/>
        <v>Yes</v>
      </c>
      <c r="O72" t="str">
        <f t="shared" si="9"/>
        <v>Yes</v>
      </c>
      <c r="P72" t="str">
        <f t="shared" si="10"/>
        <v>Yes</v>
      </c>
      <c r="Q72" t="str">
        <f t="shared" si="11"/>
        <v>Yes</v>
      </c>
    </row>
    <row r="73" spans="1:17" x14ac:dyDescent="0.25">
      <c r="A73" t="s">
        <v>16</v>
      </c>
      <c r="B73" t="str">
        <f t="shared" si="6"/>
        <v>P-072</v>
      </c>
      <c r="C73" t="s">
        <v>7</v>
      </c>
      <c r="D73">
        <v>3</v>
      </c>
      <c r="E73">
        <v>3</v>
      </c>
      <c r="F73">
        <v>85000</v>
      </c>
      <c r="G73" t="s">
        <v>10</v>
      </c>
      <c r="H73" t="s">
        <v>9</v>
      </c>
      <c r="I73" t="s">
        <v>10</v>
      </c>
      <c r="J73" t="s">
        <v>10</v>
      </c>
      <c r="K73" t="s">
        <v>9</v>
      </c>
      <c r="L73" t="s">
        <v>9</v>
      </c>
      <c r="M73" t="str">
        <f t="shared" si="7"/>
        <v>No</v>
      </c>
      <c r="N73" t="str">
        <f t="shared" si="8"/>
        <v>Yes</v>
      </c>
      <c r="O73" t="str">
        <f t="shared" si="9"/>
        <v>No</v>
      </c>
      <c r="P73" t="str">
        <f t="shared" si="10"/>
        <v>No</v>
      </c>
      <c r="Q73" t="str">
        <f t="shared" si="11"/>
        <v>Yes</v>
      </c>
    </row>
    <row r="74" spans="1:17" x14ac:dyDescent="0.25">
      <c r="A74" t="s">
        <v>16</v>
      </c>
      <c r="B74" t="str">
        <f t="shared" si="6"/>
        <v>P-073</v>
      </c>
      <c r="C74" t="s">
        <v>40</v>
      </c>
      <c r="D74">
        <v>6</v>
      </c>
      <c r="E74">
        <v>6</v>
      </c>
      <c r="F74">
        <v>712000</v>
      </c>
      <c r="G74" t="s">
        <v>9</v>
      </c>
      <c r="H74" t="s">
        <v>9</v>
      </c>
      <c r="I74" t="s">
        <v>10</v>
      </c>
      <c r="J74" t="s">
        <v>10</v>
      </c>
      <c r="K74" t="s">
        <v>9</v>
      </c>
      <c r="L74" t="s">
        <v>9</v>
      </c>
      <c r="M74" t="str">
        <f t="shared" si="7"/>
        <v>Yes</v>
      </c>
      <c r="N74" t="str">
        <f t="shared" si="8"/>
        <v>Yes</v>
      </c>
      <c r="O74" t="str">
        <f t="shared" si="9"/>
        <v>No</v>
      </c>
      <c r="P74" t="str">
        <f t="shared" si="10"/>
        <v>No</v>
      </c>
      <c r="Q74" t="str">
        <f t="shared" si="11"/>
        <v>Yes</v>
      </c>
    </row>
    <row r="75" spans="1:17" x14ac:dyDescent="0.25">
      <c r="A75" t="s">
        <v>16</v>
      </c>
      <c r="B75" t="str">
        <f t="shared" si="6"/>
        <v>P-074</v>
      </c>
      <c r="C75" t="s">
        <v>14</v>
      </c>
      <c r="D75">
        <v>5</v>
      </c>
      <c r="E75">
        <v>5</v>
      </c>
      <c r="F75">
        <v>350000</v>
      </c>
      <c r="G75" t="s">
        <v>10</v>
      </c>
      <c r="H75" t="s">
        <v>9</v>
      </c>
      <c r="I75" t="s">
        <v>10</v>
      </c>
      <c r="J75" t="s">
        <v>10</v>
      </c>
      <c r="K75" t="s">
        <v>9</v>
      </c>
      <c r="L75" t="s">
        <v>9</v>
      </c>
      <c r="M75" t="str">
        <f t="shared" si="7"/>
        <v>No</v>
      </c>
      <c r="N75" t="str">
        <f t="shared" si="8"/>
        <v>Yes</v>
      </c>
      <c r="O75" t="str">
        <f t="shared" si="9"/>
        <v>No</v>
      </c>
      <c r="P75" t="str">
        <f t="shared" si="10"/>
        <v>No</v>
      </c>
      <c r="Q75" t="str">
        <f t="shared" si="11"/>
        <v>Yes</v>
      </c>
    </row>
    <row r="76" spans="1:17" x14ac:dyDescent="0.25">
      <c r="A76" t="s">
        <v>16</v>
      </c>
      <c r="B76" t="str">
        <f t="shared" si="6"/>
        <v>P-075</v>
      </c>
      <c r="C76" t="s">
        <v>40</v>
      </c>
      <c r="D76">
        <v>5</v>
      </c>
      <c r="E76">
        <v>5</v>
      </c>
      <c r="F76">
        <v>440000</v>
      </c>
      <c r="G76" t="s">
        <v>10</v>
      </c>
      <c r="H76" t="s">
        <v>9</v>
      </c>
      <c r="I76" t="s">
        <v>10</v>
      </c>
      <c r="J76" t="s">
        <v>10</v>
      </c>
      <c r="K76" t="s">
        <v>9</v>
      </c>
      <c r="L76" t="s">
        <v>9</v>
      </c>
      <c r="M76" t="str">
        <f t="shared" si="7"/>
        <v>No</v>
      </c>
      <c r="N76" t="str">
        <f t="shared" si="8"/>
        <v>Yes</v>
      </c>
      <c r="O76" t="str">
        <f t="shared" si="9"/>
        <v>No</v>
      </c>
      <c r="P76" t="str">
        <f t="shared" si="10"/>
        <v>No</v>
      </c>
      <c r="Q76" t="str">
        <f t="shared" si="11"/>
        <v>Yes</v>
      </c>
    </row>
    <row r="77" spans="1:17" x14ac:dyDescent="0.25">
      <c r="A77" t="s">
        <v>17</v>
      </c>
      <c r="B77" t="str">
        <f t="shared" si="6"/>
        <v>P-076</v>
      </c>
      <c r="C77" t="s">
        <v>40</v>
      </c>
      <c r="D77">
        <v>5</v>
      </c>
      <c r="E77">
        <v>4</v>
      </c>
      <c r="F77">
        <v>350000</v>
      </c>
      <c r="G77" t="s">
        <v>10</v>
      </c>
      <c r="H77" t="s">
        <v>9</v>
      </c>
      <c r="I77" t="s">
        <v>10</v>
      </c>
      <c r="J77" t="s">
        <v>10</v>
      </c>
      <c r="K77" t="s">
        <v>9</v>
      </c>
      <c r="L77" t="s">
        <v>9</v>
      </c>
      <c r="M77" t="str">
        <f t="shared" si="7"/>
        <v>No</v>
      </c>
      <c r="N77" t="str">
        <f t="shared" si="8"/>
        <v>Yes</v>
      </c>
      <c r="O77" t="str">
        <f t="shared" si="9"/>
        <v>No</v>
      </c>
      <c r="P77" t="str">
        <f t="shared" si="10"/>
        <v>No</v>
      </c>
      <c r="Q77" t="str">
        <f t="shared" si="11"/>
        <v>Yes</v>
      </c>
    </row>
    <row r="78" spans="1:17" x14ac:dyDescent="0.25">
      <c r="A78" t="s">
        <v>17</v>
      </c>
      <c r="B78" t="str">
        <f t="shared" si="6"/>
        <v>P-077</v>
      </c>
      <c r="C78" t="s">
        <v>40</v>
      </c>
      <c r="D78">
        <v>4</v>
      </c>
      <c r="E78">
        <v>4</v>
      </c>
      <c r="F78">
        <v>360000</v>
      </c>
      <c r="G78" t="s">
        <v>10</v>
      </c>
      <c r="H78" t="s">
        <v>9</v>
      </c>
      <c r="I78" t="s">
        <v>10</v>
      </c>
      <c r="J78" t="s">
        <v>9</v>
      </c>
      <c r="K78" t="s">
        <v>9</v>
      </c>
      <c r="L78" t="s">
        <v>9</v>
      </c>
      <c r="M78" t="str">
        <f t="shared" si="7"/>
        <v>No</v>
      </c>
      <c r="N78" t="str">
        <f t="shared" si="8"/>
        <v>Yes</v>
      </c>
      <c r="O78" t="str">
        <f t="shared" si="9"/>
        <v>No</v>
      </c>
      <c r="P78" t="str">
        <f t="shared" si="10"/>
        <v>Yes</v>
      </c>
      <c r="Q78" t="str">
        <f t="shared" si="11"/>
        <v>Yes</v>
      </c>
    </row>
    <row r="79" spans="1:17" x14ac:dyDescent="0.25">
      <c r="A79" t="s">
        <v>17</v>
      </c>
      <c r="B79" t="str">
        <f t="shared" si="6"/>
        <v>P-078</v>
      </c>
      <c r="C79" t="s">
        <v>40</v>
      </c>
      <c r="D79">
        <v>5</v>
      </c>
      <c r="E79">
        <v>6</v>
      </c>
      <c r="F79">
        <v>450000</v>
      </c>
      <c r="G79" t="s">
        <v>10</v>
      </c>
      <c r="H79" t="s">
        <v>9</v>
      </c>
      <c r="I79" t="s">
        <v>10</v>
      </c>
      <c r="J79" t="s">
        <v>10</v>
      </c>
      <c r="K79" t="s">
        <v>9</v>
      </c>
      <c r="L79" t="s">
        <v>9</v>
      </c>
      <c r="M79" t="str">
        <f t="shared" si="7"/>
        <v>No</v>
      </c>
      <c r="N79" t="str">
        <f t="shared" si="8"/>
        <v>Yes</v>
      </c>
      <c r="O79" t="str">
        <f t="shared" si="9"/>
        <v>No</v>
      </c>
      <c r="P79" t="str">
        <f t="shared" si="10"/>
        <v>No</v>
      </c>
      <c r="Q79" t="str">
        <f t="shared" si="11"/>
        <v>Yes</v>
      </c>
    </row>
    <row r="80" spans="1:17" x14ac:dyDescent="0.25">
      <c r="A80" t="s">
        <v>17</v>
      </c>
      <c r="B80" t="str">
        <f t="shared" si="6"/>
        <v>P-079</v>
      </c>
      <c r="C80" t="s">
        <v>40</v>
      </c>
      <c r="D80">
        <v>3</v>
      </c>
      <c r="E80">
        <v>3</v>
      </c>
      <c r="F80">
        <v>350000</v>
      </c>
      <c r="G80" t="s">
        <v>10</v>
      </c>
      <c r="H80" t="s">
        <v>9</v>
      </c>
      <c r="I80" t="s">
        <v>10</v>
      </c>
      <c r="J80" t="s">
        <v>10</v>
      </c>
      <c r="K80" t="s">
        <v>9</v>
      </c>
      <c r="L80" t="s">
        <v>9</v>
      </c>
      <c r="M80" t="str">
        <f t="shared" si="7"/>
        <v>No</v>
      </c>
      <c r="N80" t="str">
        <f t="shared" si="8"/>
        <v>Yes</v>
      </c>
      <c r="O80" t="str">
        <f t="shared" si="9"/>
        <v>No</v>
      </c>
      <c r="P80" t="str">
        <f t="shared" si="10"/>
        <v>No</v>
      </c>
      <c r="Q80" t="str">
        <f t="shared" si="11"/>
        <v>Yes</v>
      </c>
    </row>
    <row r="81" spans="1:17" x14ac:dyDescent="0.25">
      <c r="A81" t="s">
        <v>17</v>
      </c>
      <c r="B81" t="str">
        <f t="shared" si="6"/>
        <v>P-080</v>
      </c>
      <c r="C81" t="s">
        <v>14</v>
      </c>
      <c r="D81">
        <v>2</v>
      </c>
      <c r="E81">
        <v>2</v>
      </c>
      <c r="F81">
        <v>65000</v>
      </c>
      <c r="G81" t="s">
        <v>10</v>
      </c>
      <c r="H81" t="s">
        <v>9</v>
      </c>
      <c r="I81" t="s">
        <v>10</v>
      </c>
      <c r="J81" t="s">
        <v>10</v>
      </c>
      <c r="K81" t="s">
        <v>9</v>
      </c>
      <c r="L81" t="s">
        <v>9</v>
      </c>
      <c r="M81" t="str">
        <f t="shared" si="7"/>
        <v>No</v>
      </c>
      <c r="N81" t="str">
        <f t="shared" si="8"/>
        <v>Yes</v>
      </c>
      <c r="O81" t="str">
        <f t="shared" si="9"/>
        <v>No</v>
      </c>
      <c r="P81" t="str">
        <f t="shared" si="10"/>
        <v>No</v>
      </c>
      <c r="Q81" t="str">
        <f t="shared" si="11"/>
        <v>Yes</v>
      </c>
    </row>
    <row r="82" spans="1:17" x14ac:dyDescent="0.25">
      <c r="A82" t="s">
        <v>17</v>
      </c>
      <c r="B82" t="str">
        <f t="shared" si="6"/>
        <v>P-081</v>
      </c>
      <c r="C82" t="s">
        <v>40</v>
      </c>
      <c r="D82">
        <v>4</v>
      </c>
      <c r="E82">
        <v>4</v>
      </c>
      <c r="F82">
        <v>500000</v>
      </c>
      <c r="G82" t="s">
        <v>10</v>
      </c>
      <c r="H82" t="s">
        <v>9</v>
      </c>
      <c r="I82" t="s">
        <v>10</v>
      </c>
      <c r="J82" t="s">
        <v>10</v>
      </c>
      <c r="K82" t="s">
        <v>9</v>
      </c>
      <c r="L82" t="s">
        <v>9</v>
      </c>
      <c r="M82" t="str">
        <f t="shared" si="7"/>
        <v>No</v>
      </c>
      <c r="N82" t="str">
        <f t="shared" si="8"/>
        <v>Yes</v>
      </c>
      <c r="O82" t="str">
        <f t="shared" si="9"/>
        <v>No</v>
      </c>
      <c r="P82" t="str">
        <f t="shared" si="10"/>
        <v>No</v>
      </c>
      <c r="Q82" t="str">
        <f t="shared" si="11"/>
        <v>Yes</v>
      </c>
    </row>
    <row r="83" spans="1:17" x14ac:dyDescent="0.25">
      <c r="A83" t="s">
        <v>17</v>
      </c>
      <c r="B83" t="str">
        <f t="shared" si="6"/>
        <v>P-082</v>
      </c>
      <c r="C83" t="s">
        <v>40</v>
      </c>
      <c r="D83">
        <v>2</v>
      </c>
      <c r="E83">
        <v>1</v>
      </c>
      <c r="F83">
        <v>100000</v>
      </c>
      <c r="G83" t="s">
        <v>10</v>
      </c>
      <c r="H83" t="s">
        <v>9</v>
      </c>
      <c r="I83" t="s">
        <v>10</v>
      </c>
      <c r="J83" t="s">
        <v>10</v>
      </c>
      <c r="K83" t="s">
        <v>9</v>
      </c>
      <c r="L83" t="s">
        <v>9</v>
      </c>
      <c r="M83" t="str">
        <f t="shared" si="7"/>
        <v>No</v>
      </c>
      <c r="N83" t="str">
        <f t="shared" si="8"/>
        <v>Yes</v>
      </c>
      <c r="O83" t="str">
        <f t="shared" si="9"/>
        <v>No</v>
      </c>
      <c r="P83" t="str">
        <f t="shared" si="10"/>
        <v>No</v>
      </c>
      <c r="Q83" t="str">
        <f t="shared" si="11"/>
        <v>Yes</v>
      </c>
    </row>
    <row r="84" spans="1:17" x14ac:dyDescent="0.25">
      <c r="A84" t="s">
        <v>17</v>
      </c>
      <c r="B84" t="str">
        <f t="shared" si="6"/>
        <v>P-083</v>
      </c>
      <c r="C84" t="s">
        <v>40</v>
      </c>
      <c r="D84">
        <v>5</v>
      </c>
      <c r="E84">
        <v>5</v>
      </c>
      <c r="F84">
        <v>400000</v>
      </c>
      <c r="G84" t="s">
        <v>10</v>
      </c>
      <c r="H84" t="s">
        <v>9</v>
      </c>
      <c r="I84" t="s">
        <v>10</v>
      </c>
      <c r="J84" t="s">
        <v>10</v>
      </c>
      <c r="K84" t="s">
        <v>9</v>
      </c>
      <c r="L84" t="s">
        <v>9</v>
      </c>
      <c r="M84" t="str">
        <f t="shared" si="7"/>
        <v>No</v>
      </c>
      <c r="N84" t="str">
        <f t="shared" si="8"/>
        <v>Yes</v>
      </c>
      <c r="O84" t="str">
        <f t="shared" si="9"/>
        <v>No</v>
      </c>
      <c r="P84" t="str">
        <f t="shared" si="10"/>
        <v>No</v>
      </c>
      <c r="Q84" t="str">
        <f t="shared" si="11"/>
        <v>Yes</v>
      </c>
    </row>
    <row r="85" spans="1:17" x14ac:dyDescent="0.25">
      <c r="A85" t="s">
        <v>17</v>
      </c>
      <c r="B85" t="str">
        <f t="shared" si="6"/>
        <v>P-084</v>
      </c>
      <c r="C85" t="s">
        <v>40</v>
      </c>
      <c r="D85">
        <v>3</v>
      </c>
      <c r="E85">
        <v>2</v>
      </c>
      <c r="F85">
        <v>130000</v>
      </c>
      <c r="G85" t="s">
        <v>10</v>
      </c>
      <c r="H85" t="s">
        <v>9</v>
      </c>
      <c r="I85" t="s">
        <v>10</v>
      </c>
      <c r="J85" t="s">
        <v>10</v>
      </c>
      <c r="K85" t="s">
        <v>9</v>
      </c>
      <c r="L85" t="s">
        <v>9</v>
      </c>
      <c r="M85" t="str">
        <f t="shared" si="7"/>
        <v>No</v>
      </c>
      <c r="N85" t="str">
        <f t="shared" si="8"/>
        <v>Yes</v>
      </c>
      <c r="O85" t="str">
        <f t="shared" si="9"/>
        <v>No</v>
      </c>
      <c r="P85" t="str">
        <f t="shared" si="10"/>
        <v>No</v>
      </c>
      <c r="Q85" t="str">
        <f t="shared" si="11"/>
        <v>Yes</v>
      </c>
    </row>
    <row r="86" spans="1:17" x14ac:dyDescent="0.25">
      <c r="A86" t="s">
        <v>17</v>
      </c>
      <c r="B86" t="str">
        <f t="shared" si="6"/>
        <v>P-085</v>
      </c>
      <c r="C86" t="s">
        <v>40</v>
      </c>
      <c r="D86">
        <v>5</v>
      </c>
      <c r="E86">
        <v>5</v>
      </c>
      <c r="F86">
        <v>300000</v>
      </c>
      <c r="G86" t="s">
        <v>10</v>
      </c>
      <c r="H86" t="s">
        <v>9</v>
      </c>
      <c r="I86" t="s">
        <v>10</v>
      </c>
      <c r="J86" t="s">
        <v>10</v>
      </c>
      <c r="K86" t="s">
        <v>9</v>
      </c>
      <c r="L86" t="s">
        <v>9</v>
      </c>
      <c r="M86" t="str">
        <f t="shared" si="7"/>
        <v>No</v>
      </c>
      <c r="N86" t="str">
        <f t="shared" si="8"/>
        <v>Yes</v>
      </c>
      <c r="O86" t="str">
        <f t="shared" si="9"/>
        <v>No</v>
      </c>
      <c r="P86" t="str">
        <f t="shared" si="10"/>
        <v>No</v>
      </c>
      <c r="Q86" t="str">
        <f t="shared" si="11"/>
        <v>Yes</v>
      </c>
    </row>
    <row r="87" spans="1:17" x14ac:dyDescent="0.25">
      <c r="A87" t="s">
        <v>17</v>
      </c>
      <c r="B87" t="str">
        <f t="shared" si="6"/>
        <v>P-086</v>
      </c>
      <c r="C87" t="s">
        <v>40</v>
      </c>
      <c r="D87">
        <v>2</v>
      </c>
      <c r="E87">
        <v>1</v>
      </c>
      <c r="F87">
        <v>75000</v>
      </c>
      <c r="G87" t="s">
        <v>10</v>
      </c>
      <c r="H87" t="s">
        <v>9</v>
      </c>
      <c r="I87" t="s">
        <v>10</v>
      </c>
      <c r="J87" t="s">
        <v>10</v>
      </c>
      <c r="K87" t="s">
        <v>9</v>
      </c>
      <c r="L87" t="s">
        <v>9</v>
      </c>
      <c r="M87" t="str">
        <f t="shared" si="7"/>
        <v>No</v>
      </c>
      <c r="N87" t="str">
        <f t="shared" si="8"/>
        <v>Yes</v>
      </c>
      <c r="O87" t="str">
        <f t="shared" si="9"/>
        <v>No</v>
      </c>
      <c r="P87" t="str">
        <f t="shared" si="10"/>
        <v>No</v>
      </c>
      <c r="Q87" t="str">
        <f t="shared" si="11"/>
        <v>Yes</v>
      </c>
    </row>
    <row r="88" spans="1:17" x14ac:dyDescent="0.25">
      <c r="A88" t="s">
        <v>17</v>
      </c>
      <c r="B88" t="str">
        <f t="shared" si="6"/>
        <v>P-087</v>
      </c>
      <c r="C88" t="s">
        <v>40</v>
      </c>
      <c r="D88">
        <v>2</v>
      </c>
      <c r="E88">
        <v>1</v>
      </c>
      <c r="F88">
        <v>100000</v>
      </c>
      <c r="G88" t="s">
        <v>10</v>
      </c>
      <c r="H88" t="s">
        <v>9</v>
      </c>
      <c r="I88" t="s">
        <v>10</v>
      </c>
      <c r="J88" t="s">
        <v>10</v>
      </c>
      <c r="K88" t="s">
        <v>9</v>
      </c>
      <c r="L88" t="s">
        <v>9</v>
      </c>
      <c r="M88" t="str">
        <f t="shared" si="7"/>
        <v>No</v>
      </c>
      <c r="N88" t="str">
        <f t="shared" si="8"/>
        <v>Yes</v>
      </c>
      <c r="O88" t="str">
        <f t="shared" si="9"/>
        <v>No</v>
      </c>
      <c r="P88" t="str">
        <f t="shared" si="10"/>
        <v>No</v>
      </c>
      <c r="Q88" t="str">
        <f t="shared" si="11"/>
        <v>Yes</v>
      </c>
    </row>
    <row r="89" spans="1:17" x14ac:dyDescent="0.25">
      <c r="A89" t="s">
        <v>17</v>
      </c>
      <c r="B89" t="str">
        <f t="shared" si="6"/>
        <v>P-088</v>
      </c>
      <c r="C89" t="s">
        <v>40</v>
      </c>
      <c r="D89">
        <v>4</v>
      </c>
      <c r="E89">
        <v>5</v>
      </c>
      <c r="F89">
        <v>430000</v>
      </c>
      <c r="G89" t="s">
        <v>10</v>
      </c>
      <c r="H89" t="s">
        <v>9</v>
      </c>
      <c r="I89" t="s">
        <v>10</v>
      </c>
      <c r="J89" t="s">
        <v>10</v>
      </c>
      <c r="K89" t="s">
        <v>9</v>
      </c>
      <c r="L89" t="s">
        <v>9</v>
      </c>
      <c r="M89" t="str">
        <f t="shared" si="7"/>
        <v>No</v>
      </c>
      <c r="N89" t="str">
        <f t="shared" si="8"/>
        <v>Yes</v>
      </c>
      <c r="O89" t="str">
        <f t="shared" si="9"/>
        <v>No</v>
      </c>
      <c r="P89" t="str">
        <f t="shared" si="10"/>
        <v>No</v>
      </c>
      <c r="Q89" t="str">
        <f t="shared" si="11"/>
        <v>Yes</v>
      </c>
    </row>
    <row r="90" spans="1:17" x14ac:dyDescent="0.25">
      <c r="A90" t="s">
        <v>17</v>
      </c>
      <c r="B90" t="str">
        <f t="shared" si="6"/>
        <v>P-089</v>
      </c>
      <c r="C90" t="s">
        <v>7</v>
      </c>
      <c r="D90">
        <v>3</v>
      </c>
      <c r="E90">
        <v>2</v>
      </c>
      <c r="F90">
        <v>180000</v>
      </c>
      <c r="G90" t="s">
        <v>10</v>
      </c>
      <c r="H90" t="s">
        <v>9</v>
      </c>
      <c r="I90" t="s">
        <v>10</v>
      </c>
      <c r="J90" t="s">
        <v>10</v>
      </c>
      <c r="K90" t="s">
        <v>9</v>
      </c>
      <c r="L90" t="s">
        <v>9</v>
      </c>
      <c r="M90" t="str">
        <f t="shared" si="7"/>
        <v>No</v>
      </c>
      <c r="N90" t="str">
        <f t="shared" si="8"/>
        <v>Yes</v>
      </c>
      <c r="O90" t="str">
        <f t="shared" si="9"/>
        <v>No</v>
      </c>
      <c r="P90" t="str">
        <f t="shared" si="10"/>
        <v>No</v>
      </c>
      <c r="Q90" t="str">
        <f t="shared" si="11"/>
        <v>Yes</v>
      </c>
    </row>
    <row r="91" spans="1:17" x14ac:dyDescent="0.25">
      <c r="A91" t="s">
        <v>17</v>
      </c>
      <c r="B91" t="str">
        <f t="shared" si="6"/>
        <v>P-090</v>
      </c>
      <c r="C91" t="s">
        <v>40</v>
      </c>
      <c r="D91">
        <v>5</v>
      </c>
      <c r="E91">
        <v>5</v>
      </c>
      <c r="F91">
        <v>697000</v>
      </c>
      <c r="G91" t="s">
        <v>9</v>
      </c>
      <c r="H91" t="s">
        <v>9</v>
      </c>
      <c r="I91" t="s">
        <v>9</v>
      </c>
      <c r="J91" t="s">
        <v>9</v>
      </c>
      <c r="K91" t="s">
        <v>9</v>
      </c>
      <c r="L91" t="s">
        <v>9</v>
      </c>
      <c r="M91" t="str">
        <f t="shared" si="7"/>
        <v>Yes</v>
      </c>
      <c r="N91" t="str">
        <f t="shared" si="8"/>
        <v>Yes</v>
      </c>
      <c r="O91" t="str">
        <f t="shared" si="9"/>
        <v>Yes</v>
      </c>
      <c r="P91" t="str">
        <f t="shared" si="10"/>
        <v>Yes</v>
      </c>
      <c r="Q91" t="str">
        <f t="shared" si="11"/>
        <v>Yes</v>
      </c>
    </row>
    <row r="92" spans="1:17" x14ac:dyDescent="0.25">
      <c r="A92" t="s">
        <v>17</v>
      </c>
      <c r="B92" t="str">
        <f t="shared" si="6"/>
        <v>P-091</v>
      </c>
      <c r="C92" t="s">
        <v>40</v>
      </c>
      <c r="D92">
        <v>5</v>
      </c>
      <c r="E92">
        <v>5</v>
      </c>
      <c r="F92">
        <v>750000</v>
      </c>
      <c r="G92" t="s">
        <v>10</v>
      </c>
      <c r="H92" t="s">
        <v>9</v>
      </c>
      <c r="I92" t="s">
        <v>9</v>
      </c>
      <c r="J92" t="s">
        <v>9</v>
      </c>
      <c r="K92" t="s">
        <v>9</v>
      </c>
      <c r="L92" t="s">
        <v>9</v>
      </c>
      <c r="M92" t="str">
        <f t="shared" si="7"/>
        <v>No</v>
      </c>
      <c r="N92" t="str">
        <f t="shared" si="8"/>
        <v>Yes</v>
      </c>
      <c r="O92" t="str">
        <f t="shared" si="9"/>
        <v>Yes</v>
      </c>
      <c r="P92" t="str">
        <f t="shared" si="10"/>
        <v>Yes</v>
      </c>
      <c r="Q92" t="str">
        <f t="shared" si="11"/>
        <v>Yes</v>
      </c>
    </row>
    <row r="93" spans="1:17" x14ac:dyDescent="0.25">
      <c r="A93" t="s">
        <v>17</v>
      </c>
      <c r="B93" t="str">
        <f t="shared" si="6"/>
        <v>P-092</v>
      </c>
      <c r="C93" t="s">
        <v>7</v>
      </c>
      <c r="D93">
        <v>3</v>
      </c>
      <c r="E93">
        <v>3</v>
      </c>
      <c r="F93">
        <v>120000</v>
      </c>
      <c r="G93" t="s">
        <v>10</v>
      </c>
      <c r="H93" t="s">
        <v>9</v>
      </c>
      <c r="I93" t="s">
        <v>9</v>
      </c>
      <c r="J93" t="s">
        <v>9</v>
      </c>
      <c r="K93" t="s">
        <v>9</v>
      </c>
      <c r="L93" t="s">
        <v>9</v>
      </c>
      <c r="M93" t="str">
        <f t="shared" si="7"/>
        <v>No</v>
      </c>
      <c r="N93" t="str">
        <f t="shared" si="8"/>
        <v>Yes</v>
      </c>
      <c r="O93" t="str">
        <f t="shared" si="9"/>
        <v>Yes</v>
      </c>
      <c r="P93" t="str">
        <f t="shared" si="10"/>
        <v>Yes</v>
      </c>
      <c r="Q93" t="str">
        <f t="shared" si="11"/>
        <v>Yes</v>
      </c>
    </row>
    <row r="94" spans="1:17" x14ac:dyDescent="0.25">
      <c r="A94" t="s">
        <v>17</v>
      </c>
      <c r="B94" t="str">
        <f t="shared" si="6"/>
        <v>P-093</v>
      </c>
      <c r="C94" t="s">
        <v>14</v>
      </c>
      <c r="D94">
        <v>6</v>
      </c>
      <c r="E94">
        <v>6</v>
      </c>
      <c r="F94">
        <v>470000</v>
      </c>
      <c r="G94" t="s">
        <v>10</v>
      </c>
      <c r="H94" t="s">
        <v>9</v>
      </c>
      <c r="I94" t="s">
        <v>10</v>
      </c>
      <c r="J94" t="s">
        <v>10</v>
      </c>
      <c r="K94" t="s">
        <v>9</v>
      </c>
      <c r="L94" t="s">
        <v>9</v>
      </c>
      <c r="M94" t="str">
        <f t="shared" si="7"/>
        <v>No</v>
      </c>
      <c r="N94" t="str">
        <f t="shared" si="8"/>
        <v>Yes</v>
      </c>
      <c r="O94" t="str">
        <f t="shared" si="9"/>
        <v>No</v>
      </c>
      <c r="P94" t="str">
        <f t="shared" si="10"/>
        <v>No</v>
      </c>
      <c r="Q94" t="str">
        <f t="shared" si="11"/>
        <v>Yes</v>
      </c>
    </row>
    <row r="95" spans="1:17" x14ac:dyDescent="0.25">
      <c r="A95" t="s">
        <v>17</v>
      </c>
      <c r="B95" t="str">
        <f t="shared" si="6"/>
        <v>P-094</v>
      </c>
      <c r="C95" t="s">
        <v>14</v>
      </c>
      <c r="D95">
        <v>4</v>
      </c>
      <c r="E95">
        <v>4</v>
      </c>
      <c r="F95">
        <v>350000</v>
      </c>
      <c r="G95" t="s">
        <v>10</v>
      </c>
      <c r="H95" t="s">
        <v>9</v>
      </c>
      <c r="I95" t="s">
        <v>10</v>
      </c>
      <c r="J95" t="s">
        <v>9</v>
      </c>
      <c r="K95" t="s">
        <v>9</v>
      </c>
      <c r="L95" t="s">
        <v>9</v>
      </c>
      <c r="M95" t="str">
        <f t="shared" si="7"/>
        <v>No</v>
      </c>
      <c r="N95" t="str">
        <f t="shared" si="8"/>
        <v>Yes</v>
      </c>
      <c r="O95" t="str">
        <f t="shared" si="9"/>
        <v>No</v>
      </c>
      <c r="P95" t="str">
        <f t="shared" si="10"/>
        <v>Yes</v>
      </c>
      <c r="Q95" t="str">
        <f t="shared" si="11"/>
        <v>Yes</v>
      </c>
    </row>
    <row r="96" spans="1:17" x14ac:dyDescent="0.25">
      <c r="A96" t="s">
        <v>17</v>
      </c>
      <c r="B96" t="str">
        <f t="shared" si="6"/>
        <v>P-095</v>
      </c>
      <c r="C96" t="s">
        <v>14</v>
      </c>
      <c r="D96">
        <v>4</v>
      </c>
      <c r="E96">
        <v>5</v>
      </c>
      <c r="F96">
        <v>450000</v>
      </c>
      <c r="G96" t="s">
        <v>10</v>
      </c>
      <c r="H96" t="s">
        <v>9</v>
      </c>
      <c r="I96" t="s">
        <v>10</v>
      </c>
      <c r="J96" t="s">
        <v>10</v>
      </c>
      <c r="K96" t="s">
        <v>9</v>
      </c>
      <c r="L96" t="s">
        <v>9</v>
      </c>
      <c r="M96" t="str">
        <f t="shared" si="7"/>
        <v>No</v>
      </c>
      <c r="N96" t="str">
        <f t="shared" si="8"/>
        <v>Yes</v>
      </c>
      <c r="O96" t="str">
        <f t="shared" si="9"/>
        <v>No</v>
      </c>
      <c r="P96" t="str">
        <f t="shared" si="10"/>
        <v>No</v>
      </c>
      <c r="Q96" t="str">
        <f t="shared" si="11"/>
        <v>Yes</v>
      </c>
    </row>
    <row r="97" spans="1:17" x14ac:dyDescent="0.25">
      <c r="A97" t="s">
        <v>17</v>
      </c>
      <c r="B97" t="str">
        <f t="shared" si="6"/>
        <v>P-096</v>
      </c>
      <c r="C97" t="s">
        <v>14</v>
      </c>
      <c r="D97">
        <v>4</v>
      </c>
      <c r="E97">
        <v>5</v>
      </c>
      <c r="F97">
        <v>460000</v>
      </c>
      <c r="G97" t="s">
        <v>10</v>
      </c>
      <c r="H97" t="s">
        <v>9</v>
      </c>
      <c r="I97" t="s">
        <v>9</v>
      </c>
      <c r="J97" t="s">
        <v>9</v>
      </c>
      <c r="K97" t="s">
        <v>9</v>
      </c>
      <c r="L97" t="s">
        <v>9</v>
      </c>
      <c r="M97" t="str">
        <f t="shared" si="7"/>
        <v>No</v>
      </c>
      <c r="N97" t="str">
        <f t="shared" si="8"/>
        <v>Yes</v>
      </c>
      <c r="O97" t="str">
        <f t="shared" si="9"/>
        <v>Yes</v>
      </c>
      <c r="P97" t="str">
        <f t="shared" si="10"/>
        <v>Yes</v>
      </c>
      <c r="Q97" t="str">
        <f t="shared" si="11"/>
        <v>Yes</v>
      </c>
    </row>
    <row r="98" spans="1:17" x14ac:dyDescent="0.25">
      <c r="A98" t="s">
        <v>17</v>
      </c>
      <c r="B98" t="str">
        <f t="shared" si="6"/>
        <v>P-097</v>
      </c>
      <c r="C98" t="s">
        <v>40</v>
      </c>
      <c r="D98">
        <v>5</v>
      </c>
      <c r="E98">
        <v>5</v>
      </c>
      <c r="F98">
        <v>320000</v>
      </c>
      <c r="G98" t="s">
        <v>10</v>
      </c>
      <c r="H98" t="s">
        <v>9</v>
      </c>
      <c r="I98" t="s">
        <v>10</v>
      </c>
      <c r="J98" t="s">
        <v>10</v>
      </c>
      <c r="K98" t="s">
        <v>9</v>
      </c>
      <c r="L98" t="s">
        <v>9</v>
      </c>
      <c r="M98" t="str">
        <f t="shared" si="7"/>
        <v>No</v>
      </c>
      <c r="N98" t="str">
        <f t="shared" si="8"/>
        <v>Yes</v>
      </c>
      <c r="O98" t="str">
        <f t="shared" si="9"/>
        <v>No</v>
      </c>
      <c r="P98" t="str">
        <f t="shared" si="10"/>
        <v>No</v>
      </c>
      <c r="Q98" t="str">
        <f t="shared" si="11"/>
        <v>Yes</v>
      </c>
    </row>
    <row r="99" spans="1:17" x14ac:dyDescent="0.25">
      <c r="A99" t="s">
        <v>17</v>
      </c>
      <c r="B99" t="str">
        <f t="shared" si="6"/>
        <v>P-098</v>
      </c>
      <c r="C99" t="s">
        <v>40</v>
      </c>
      <c r="D99">
        <v>2</v>
      </c>
      <c r="E99">
        <v>2</v>
      </c>
      <c r="F99">
        <v>100000</v>
      </c>
      <c r="G99" t="s">
        <v>10</v>
      </c>
      <c r="H99" t="s">
        <v>9</v>
      </c>
      <c r="I99" t="s">
        <v>10</v>
      </c>
      <c r="J99" t="s">
        <v>10</v>
      </c>
      <c r="K99" t="s">
        <v>9</v>
      </c>
      <c r="L99" t="s">
        <v>9</v>
      </c>
      <c r="M99" t="str">
        <f t="shared" si="7"/>
        <v>No</v>
      </c>
      <c r="N99" t="str">
        <f t="shared" si="8"/>
        <v>Yes</v>
      </c>
      <c r="O99" t="str">
        <f t="shared" si="9"/>
        <v>No</v>
      </c>
      <c r="P99" t="str">
        <f t="shared" si="10"/>
        <v>No</v>
      </c>
      <c r="Q99" t="str">
        <f t="shared" si="11"/>
        <v>Yes</v>
      </c>
    </row>
    <row r="100" spans="1:17" x14ac:dyDescent="0.25">
      <c r="A100" t="s">
        <v>17</v>
      </c>
      <c r="B100" t="str">
        <f t="shared" si="6"/>
        <v>P-099</v>
      </c>
      <c r="C100" t="s">
        <v>40</v>
      </c>
      <c r="D100">
        <v>3</v>
      </c>
      <c r="E100">
        <v>3</v>
      </c>
      <c r="F100">
        <v>200000</v>
      </c>
      <c r="G100" t="s">
        <v>10</v>
      </c>
      <c r="H100" t="s">
        <v>9</v>
      </c>
      <c r="I100" t="s">
        <v>10</v>
      </c>
      <c r="J100" t="s">
        <v>10</v>
      </c>
      <c r="K100" t="s">
        <v>9</v>
      </c>
      <c r="L100" t="s">
        <v>9</v>
      </c>
      <c r="M100" t="str">
        <f t="shared" si="7"/>
        <v>No</v>
      </c>
      <c r="N100" t="str">
        <f t="shared" si="8"/>
        <v>Yes</v>
      </c>
      <c r="O100" t="str">
        <f t="shared" si="9"/>
        <v>No</v>
      </c>
      <c r="P100" t="str">
        <f t="shared" si="10"/>
        <v>No</v>
      </c>
      <c r="Q100" t="str">
        <f t="shared" si="11"/>
        <v>Yes</v>
      </c>
    </row>
    <row r="101" spans="1:17" x14ac:dyDescent="0.25">
      <c r="A101" t="s">
        <v>17</v>
      </c>
      <c r="B101" t="str">
        <f t="shared" si="6"/>
        <v>P-100</v>
      </c>
      <c r="C101" t="s">
        <v>40</v>
      </c>
      <c r="D101">
        <v>5</v>
      </c>
      <c r="E101">
        <v>5</v>
      </c>
      <c r="F101">
        <v>300000</v>
      </c>
      <c r="G101" t="s">
        <v>10</v>
      </c>
      <c r="H101" t="s">
        <v>9</v>
      </c>
      <c r="I101" t="s">
        <v>10</v>
      </c>
      <c r="J101" t="s">
        <v>10</v>
      </c>
      <c r="K101" t="s">
        <v>9</v>
      </c>
      <c r="L101" t="s">
        <v>9</v>
      </c>
      <c r="M101" t="str">
        <f t="shared" si="7"/>
        <v>No</v>
      </c>
      <c r="N101" t="str">
        <f t="shared" si="8"/>
        <v>Yes</v>
      </c>
      <c r="O101" t="str">
        <f t="shared" si="9"/>
        <v>No</v>
      </c>
      <c r="P101" t="str">
        <f t="shared" si="10"/>
        <v>No</v>
      </c>
      <c r="Q101" t="str">
        <f t="shared" si="11"/>
        <v>Yes</v>
      </c>
    </row>
    <row r="102" spans="1:17" x14ac:dyDescent="0.25">
      <c r="A102" t="s">
        <v>18</v>
      </c>
      <c r="B102" t="str">
        <f t="shared" si="6"/>
        <v>P-101</v>
      </c>
      <c r="C102" t="s">
        <v>40</v>
      </c>
      <c r="D102">
        <v>5</v>
      </c>
      <c r="E102">
        <v>6</v>
      </c>
      <c r="F102">
        <v>520000</v>
      </c>
      <c r="G102" t="s">
        <v>10</v>
      </c>
      <c r="H102" t="s">
        <v>9</v>
      </c>
      <c r="I102" t="s">
        <v>9</v>
      </c>
      <c r="J102" t="s">
        <v>10</v>
      </c>
      <c r="K102" t="s">
        <v>9</v>
      </c>
      <c r="L102" t="s">
        <v>9</v>
      </c>
      <c r="M102" t="str">
        <f t="shared" si="7"/>
        <v>No</v>
      </c>
      <c r="N102" t="str">
        <f t="shared" si="8"/>
        <v>Yes</v>
      </c>
      <c r="O102" t="str">
        <f t="shared" si="9"/>
        <v>Yes</v>
      </c>
      <c r="P102" t="str">
        <f t="shared" si="10"/>
        <v>No</v>
      </c>
      <c r="Q102" t="str">
        <f t="shared" si="11"/>
        <v>Yes</v>
      </c>
    </row>
    <row r="103" spans="1:17" x14ac:dyDescent="0.25">
      <c r="A103" t="s">
        <v>18</v>
      </c>
      <c r="B103" t="str">
        <f t="shared" si="6"/>
        <v>P-102</v>
      </c>
      <c r="C103" t="s">
        <v>40</v>
      </c>
      <c r="D103">
        <v>5</v>
      </c>
      <c r="E103">
        <v>4</v>
      </c>
      <c r="F103">
        <v>828000</v>
      </c>
      <c r="G103" t="s">
        <v>10</v>
      </c>
      <c r="H103" t="s">
        <v>9</v>
      </c>
      <c r="I103" t="s">
        <v>9</v>
      </c>
      <c r="J103" t="s">
        <v>9</v>
      </c>
      <c r="K103" t="s">
        <v>9</v>
      </c>
      <c r="L103" t="s">
        <v>9</v>
      </c>
      <c r="M103" t="str">
        <f t="shared" si="7"/>
        <v>No</v>
      </c>
      <c r="N103" t="str">
        <f t="shared" si="8"/>
        <v>Yes</v>
      </c>
      <c r="O103" t="str">
        <f t="shared" si="9"/>
        <v>Yes</v>
      </c>
      <c r="P103" t="str">
        <f t="shared" si="10"/>
        <v>Yes</v>
      </c>
      <c r="Q103" t="str">
        <f t="shared" si="11"/>
        <v>Yes</v>
      </c>
    </row>
    <row r="104" spans="1:17" x14ac:dyDescent="0.25">
      <c r="A104" t="s">
        <v>18</v>
      </c>
      <c r="B104" t="str">
        <f t="shared" si="6"/>
        <v>P-103</v>
      </c>
      <c r="C104" t="s">
        <v>7</v>
      </c>
      <c r="D104">
        <v>2</v>
      </c>
      <c r="E104">
        <v>2</v>
      </c>
      <c r="F104">
        <v>135000</v>
      </c>
      <c r="G104" t="s">
        <v>10</v>
      </c>
      <c r="H104" t="s">
        <v>9</v>
      </c>
      <c r="I104" t="s">
        <v>10</v>
      </c>
      <c r="J104" t="s">
        <v>10</v>
      </c>
      <c r="K104" t="s">
        <v>9</v>
      </c>
      <c r="L104" t="s">
        <v>9</v>
      </c>
      <c r="M104" t="str">
        <f t="shared" si="7"/>
        <v>No</v>
      </c>
      <c r="N104" t="str">
        <f t="shared" si="8"/>
        <v>Yes</v>
      </c>
      <c r="O104" t="str">
        <f t="shared" si="9"/>
        <v>No</v>
      </c>
      <c r="P104" t="str">
        <f t="shared" si="10"/>
        <v>No</v>
      </c>
      <c r="Q104" t="str">
        <f t="shared" si="11"/>
        <v>Yes</v>
      </c>
    </row>
    <row r="105" spans="1:17" x14ac:dyDescent="0.25">
      <c r="A105" t="s">
        <v>18</v>
      </c>
      <c r="B105" t="str">
        <f t="shared" si="6"/>
        <v>P-104</v>
      </c>
      <c r="C105" t="s">
        <v>40</v>
      </c>
      <c r="D105">
        <v>4</v>
      </c>
      <c r="E105">
        <v>5</v>
      </c>
      <c r="F105">
        <v>400000</v>
      </c>
      <c r="G105" t="s">
        <v>10</v>
      </c>
      <c r="H105" t="s">
        <v>9</v>
      </c>
      <c r="I105" t="s">
        <v>10</v>
      </c>
      <c r="J105" t="s">
        <v>9</v>
      </c>
      <c r="K105" t="s">
        <v>9</v>
      </c>
      <c r="L105" t="s">
        <v>9</v>
      </c>
      <c r="M105" t="str">
        <f t="shared" si="7"/>
        <v>No</v>
      </c>
      <c r="N105" t="str">
        <f t="shared" si="8"/>
        <v>Yes</v>
      </c>
      <c r="O105" t="str">
        <f t="shared" si="9"/>
        <v>No</v>
      </c>
      <c r="P105" t="str">
        <f t="shared" si="10"/>
        <v>Yes</v>
      </c>
      <c r="Q105" t="str">
        <f t="shared" si="11"/>
        <v>Yes</v>
      </c>
    </row>
    <row r="106" spans="1:17" x14ac:dyDescent="0.25">
      <c r="A106" t="s">
        <v>18</v>
      </c>
      <c r="B106" t="str">
        <f t="shared" si="6"/>
        <v>P-105</v>
      </c>
      <c r="C106" t="s">
        <v>14</v>
      </c>
      <c r="D106">
        <v>3</v>
      </c>
      <c r="E106">
        <v>3</v>
      </c>
      <c r="F106">
        <v>270000</v>
      </c>
      <c r="G106" t="s">
        <v>10</v>
      </c>
      <c r="H106" t="s">
        <v>9</v>
      </c>
      <c r="I106" t="s">
        <v>10</v>
      </c>
      <c r="J106" t="s">
        <v>10</v>
      </c>
      <c r="K106" t="s">
        <v>9</v>
      </c>
      <c r="L106" t="s">
        <v>9</v>
      </c>
      <c r="M106" t="str">
        <f t="shared" si="7"/>
        <v>No</v>
      </c>
      <c r="N106" t="str">
        <f t="shared" si="8"/>
        <v>Yes</v>
      </c>
      <c r="O106" t="str">
        <f t="shared" si="9"/>
        <v>No</v>
      </c>
      <c r="P106" t="str">
        <f t="shared" si="10"/>
        <v>No</v>
      </c>
      <c r="Q106" t="str">
        <f t="shared" si="11"/>
        <v>Yes</v>
      </c>
    </row>
    <row r="107" spans="1:17" x14ac:dyDescent="0.25">
      <c r="A107" t="s">
        <v>18</v>
      </c>
      <c r="B107" t="str">
        <f t="shared" si="6"/>
        <v>P-106</v>
      </c>
      <c r="C107" t="s">
        <v>40</v>
      </c>
      <c r="D107">
        <v>4</v>
      </c>
      <c r="E107">
        <v>4</v>
      </c>
      <c r="F107">
        <v>250000</v>
      </c>
      <c r="G107" t="s">
        <v>10</v>
      </c>
      <c r="H107" t="s">
        <v>9</v>
      </c>
      <c r="I107" t="s">
        <v>10</v>
      </c>
      <c r="J107" t="s">
        <v>10</v>
      </c>
      <c r="K107" t="s">
        <v>9</v>
      </c>
      <c r="L107" t="s">
        <v>9</v>
      </c>
      <c r="M107" t="str">
        <f t="shared" si="7"/>
        <v>No</v>
      </c>
      <c r="N107" t="str">
        <f t="shared" si="8"/>
        <v>Yes</v>
      </c>
      <c r="O107" t="str">
        <f t="shared" si="9"/>
        <v>No</v>
      </c>
      <c r="P107" t="str">
        <f t="shared" si="10"/>
        <v>No</v>
      </c>
      <c r="Q107" t="str">
        <f t="shared" si="11"/>
        <v>Yes</v>
      </c>
    </row>
    <row r="108" spans="1:17" x14ac:dyDescent="0.25">
      <c r="A108" t="s">
        <v>18</v>
      </c>
      <c r="B108" t="str">
        <f t="shared" si="6"/>
        <v>P-107</v>
      </c>
      <c r="C108" t="s">
        <v>7</v>
      </c>
      <c r="D108">
        <v>2</v>
      </c>
      <c r="E108">
        <v>2</v>
      </c>
      <c r="F108">
        <v>323625</v>
      </c>
      <c r="G108" t="s">
        <v>9</v>
      </c>
      <c r="H108" t="s">
        <v>9</v>
      </c>
      <c r="I108" t="s">
        <v>9</v>
      </c>
      <c r="J108" t="s">
        <v>9</v>
      </c>
      <c r="K108" t="s">
        <v>9</v>
      </c>
      <c r="L108" t="s">
        <v>9</v>
      </c>
      <c r="M108" t="str">
        <f t="shared" si="7"/>
        <v>Yes</v>
      </c>
      <c r="N108" t="str">
        <f t="shared" si="8"/>
        <v>Yes</v>
      </c>
      <c r="O108" t="str">
        <f t="shared" si="9"/>
        <v>Yes</v>
      </c>
      <c r="P108" t="str">
        <f t="shared" si="10"/>
        <v>Yes</v>
      </c>
      <c r="Q108" t="str">
        <f t="shared" si="11"/>
        <v>Yes</v>
      </c>
    </row>
    <row r="109" spans="1:17" x14ac:dyDescent="0.25">
      <c r="A109" t="s">
        <v>18</v>
      </c>
      <c r="B109" t="str">
        <f t="shared" si="6"/>
        <v>P-108</v>
      </c>
      <c r="C109" t="s">
        <v>40</v>
      </c>
      <c r="D109">
        <v>4</v>
      </c>
      <c r="E109">
        <v>4</v>
      </c>
      <c r="F109">
        <v>350000</v>
      </c>
      <c r="G109" t="s">
        <v>10</v>
      </c>
      <c r="H109" t="s">
        <v>9</v>
      </c>
      <c r="I109" t="s">
        <v>10</v>
      </c>
      <c r="J109" t="s">
        <v>10</v>
      </c>
      <c r="K109" t="s">
        <v>9</v>
      </c>
      <c r="L109" t="s">
        <v>9</v>
      </c>
      <c r="M109" t="str">
        <f t="shared" si="7"/>
        <v>No</v>
      </c>
      <c r="N109" t="str">
        <f t="shared" si="8"/>
        <v>Yes</v>
      </c>
      <c r="O109" t="str">
        <f t="shared" si="9"/>
        <v>No</v>
      </c>
      <c r="P109" t="str">
        <f t="shared" si="10"/>
        <v>No</v>
      </c>
      <c r="Q109" t="str">
        <f t="shared" si="11"/>
        <v>Yes</v>
      </c>
    </row>
    <row r="110" spans="1:17" x14ac:dyDescent="0.25">
      <c r="A110" t="s">
        <v>18</v>
      </c>
      <c r="B110" t="str">
        <f t="shared" si="6"/>
        <v>P-109</v>
      </c>
      <c r="C110" t="s">
        <v>40</v>
      </c>
      <c r="D110">
        <v>4</v>
      </c>
      <c r="E110">
        <v>4</v>
      </c>
      <c r="F110">
        <v>300000</v>
      </c>
      <c r="G110" t="s">
        <v>10</v>
      </c>
      <c r="H110" t="s">
        <v>9</v>
      </c>
      <c r="I110" t="s">
        <v>10</v>
      </c>
      <c r="J110" t="s">
        <v>10</v>
      </c>
      <c r="K110" t="s">
        <v>9</v>
      </c>
      <c r="L110" t="s">
        <v>9</v>
      </c>
      <c r="M110" t="str">
        <f t="shared" si="7"/>
        <v>No</v>
      </c>
      <c r="N110" t="str">
        <f t="shared" si="8"/>
        <v>Yes</v>
      </c>
      <c r="O110" t="str">
        <f t="shared" si="9"/>
        <v>No</v>
      </c>
      <c r="P110" t="str">
        <f t="shared" si="10"/>
        <v>No</v>
      </c>
      <c r="Q110" t="str">
        <f t="shared" si="11"/>
        <v>Yes</v>
      </c>
    </row>
    <row r="111" spans="1:17" x14ac:dyDescent="0.25">
      <c r="A111" t="s">
        <v>18</v>
      </c>
      <c r="B111" t="str">
        <f t="shared" si="6"/>
        <v>P-110</v>
      </c>
      <c r="C111" t="s">
        <v>14</v>
      </c>
      <c r="D111">
        <v>4</v>
      </c>
      <c r="E111">
        <v>5</v>
      </c>
      <c r="F111">
        <v>388500</v>
      </c>
      <c r="G111" t="s">
        <v>10</v>
      </c>
      <c r="H111" t="s">
        <v>9</v>
      </c>
      <c r="I111" t="s">
        <v>9</v>
      </c>
      <c r="J111" t="s">
        <v>9</v>
      </c>
      <c r="K111" t="s">
        <v>9</v>
      </c>
      <c r="L111" t="s">
        <v>9</v>
      </c>
      <c r="M111" t="str">
        <f t="shared" si="7"/>
        <v>No</v>
      </c>
      <c r="N111" t="str">
        <f t="shared" si="8"/>
        <v>Yes</v>
      </c>
      <c r="O111" t="str">
        <f t="shared" si="9"/>
        <v>Yes</v>
      </c>
      <c r="P111" t="str">
        <f t="shared" si="10"/>
        <v>Yes</v>
      </c>
      <c r="Q111" t="str">
        <f t="shared" si="11"/>
        <v>Yes</v>
      </c>
    </row>
    <row r="112" spans="1:17" x14ac:dyDescent="0.25">
      <c r="A112" t="s">
        <v>18</v>
      </c>
      <c r="B112" t="str">
        <f t="shared" si="6"/>
        <v>P-111</v>
      </c>
      <c r="C112" t="s">
        <v>40</v>
      </c>
      <c r="D112">
        <v>4</v>
      </c>
      <c r="E112">
        <v>5</v>
      </c>
      <c r="F112">
        <v>315000</v>
      </c>
      <c r="G112" t="s">
        <v>10</v>
      </c>
      <c r="H112" t="s">
        <v>9</v>
      </c>
      <c r="I112" t="s">
        <v>10</v>
      </c>
      <c r="J112" t="s">
        <v>9</v>
      </c>
      <c r="K112" t="s">
        <v>9</v>
      </c>
      <c r="L112" t="s">
        <v>9</v>
      </c>
      <c r="M112" t="str">
        <f t="shared" si="7"/>
        <v>No</v>
      </c>
      <c r="N112" t="str">
        <f t="shared" si="8"/>
        <v>Yes</v>
      </c>
      <c r="O112" t="str">
        <f t="shared" si="9"/>
        <v>No</v>
      </c>
      <c r="P112" t="str">
        <f t="shared" si="10"/>
        <v>Yes</v>
      </c>
      <c r="Q112" t="str">
        <f t="shared" si="11"/>
        <v>Yes</v>
      </c>
    </row>
    <row r="113" spans="1:17" x14ac:dyDescent="0.25">
      <c r="A113" t="s">
        <v>18</v>
      </c>
      <c r="B113" t="str">
        <f t="shared" si="6"/>
        <v>P-112</v>
      </c>
      <c r="C113" t="s">
        <v>40</v>
      </c>
      <c r="D113">
        <v>4</v>
      </c>
      <c r="E113">
        <v>4</v>
      </c>
      <c r="F113">
        <v>350000</v>
      </c>
      <c r="G113" t="s">
        <v>10</v>
      </c>
      <c r="H113" t="s">
        <v>9</v>
      </c>
      <c r="I113" t="s">
        <v>10</v>
      </c>
      <c r="J113" t="s">
        <v>9</v>
      </c>
      <c r="K113" t="s">
        <v>9</v>
      </c>
      <c r="L113" t="s">
        <v>9</v>
      </c>
      <c r="M113" t="str">
        <f t="shared" si="7"/>
        <v>No</v>
      </c>
      <c r="N113" t="str">
        <f t="shared" si="8"/>
        <v>Yes</v>
      </c>
      <c r="O113" t="str">
        <f t="shared" si="9"/>
        <v>No</v>
      </c>
      <c r="P113" t="str">
        <f t="shared" si="10"/>
        <v>Yes</v>
      </c>
      <c r="Q113" t="str">
        <f t="shared" si="11"/>
        <v>Yes</v>
      </c>
    </row>
    <row r="114" spans="1:17" x14ac:dyDescent="0.25">
      <c r="A114" t="s">
        <v>18</v>
      </c>
      <c r="B114" t="str">
        <f t="shared" si="6"/>
        <v>P-113</v>
      </c>
      <c r="C114" t="s">
        <v>40</v>
      </c>
      <c r="D114">
        <v>5</v>
      </c>
      <c r="E114">
        <v>5</v>
      </c>
      <c r="F114">
        <v>646550</v>
      </c>
      <c r="G114" t="s">
        <v>10</v>
      </c>
      <c r="H114" t="s">
        <v>9</v>
      </c>
      <c r="I114" t="s">
        <v>10</v>
      </c>
      <c r="J114" t="s">
        <v>10</v>
      </c>
      <c r="K114" t="s">
        <v>9</v>
      </c>
      <c r="L114" t="s">
        <v>9</v>
      </c>
      <c r="M114" t="str">
        <f t="shared" si="7"/>
        <v>No</v>
      </c>
      <c r="N114" t="str">
        <f t="shared" si="8"/>
        <v>Yes</v>
      </c>
      <c r="O114" t="str">
        <f t="shared" si="9"/>
        <v>No</v>
      </c>
      <c r="P114" t="str">
        <f t="shared" si="10"/>
        <v>No</v>
      </c>
      <c r="Q114" t="str">
        <f t="shared" si="11"/>
        <v>Yes</v>
      </c>
    </row>
    <row r="115" spans="1:17" x14ac:dyDescent="0.25">
      <c r="A115" t="s">
        <v>18</v>
      </c>
      <c r="B115" t="str">
        <f t="shared" si="6"/>
        <v>P-114</v>
      </c>
      <c r="C115" t="s">
        <v>40</v>
      </c>
      <c r="D115">
        <v>4</v>
      </c>
      <c r="E115">
        <v>4</v>
      </c>
      <c r="F115">
        <v>421000</v>
      </c>
      <c r="G115" t="s">
        <v>10</v>
      </c>
      <c r="H115" t="s">
        <v>9</v>
      </c>
      <c r="I115" t="s">
        <v>10</v>
      </c>
      <c r="J115" t="s">
        <v>10</v>
      </c>
      <c r="K115" t="s">
        <v>9</v>
      </c>
      <c r="L115" t="s">
        <v>9</v>
      </c>
      <c r="M115" t="str">
        <f t="shared" si="7"/>
        <v>No</v>
      </c>
      <c r="N115" t="str">
        <f t="shared" si="8"/>
        <v>Yes</v>
      </c>
      <c r="O115" t="str">
        <f t="shared" si="9"/>
        <v>No</v>
      </c>
      <c r="P115" t="str">
        <f t="shared" si="10"/>
        <v>No</v>
      </c>
      <c r="Q115" t="str">
        <f t="shared" si="11"/>
        <v>Yes</v>
      </c>
    </row>
    <row r="116" spans="1:17" x14ac:dyDescent="0.25">
      <c r="A116" t="s">
        <v>18</v>
      </c>
      <c r="B116" t="str">
        <f t="shared" si="6"/>
        <v>P-115</v>
      </c>
      <c r="C116" t="s">
        <v>40</v>
      </c>
      <c r="D116">
        <v>5</v>
      </c>
      <c r="E116">
        <v>5</v>
      </c>
      <c r="F116">
        <v>500000</v>
      </c>
      <c r="G116" t="s">
        <v>10</v>
      </c>
      <c r="H116" t="s">
        <v>9</v>
      </c>
      <c r="I116" t="s">
        <v>10</v>
      </c>
      <c r="J116" t="s">
        <v>10</v>
      </c>
      <c r="K116" t="s">
        <v>9</v>
      </c>
      <c r="L116" t="s">
        <v>9</v>
      </c>
      <c r="M116" t="str">
        <f t="shared" si="7"/>
        <v>No</v>
      </c>
      <c r="N116" t="str">
        <f t="shared" si="8"/>
        <v>Yes</v>
      </c>
      <c r="O116" t="str">
        <f t="shared" si="9"/>
        <v>No</v>
      </c>
      <c r="P116" t="str">
        <f t="shared" si="10"/>
        <v>No</v>
      </c>
      <c r="Q116" t="str">
        <f t="shared" si="11"/>
        <v>Yes</v>
      </c>
    </row>
    <row r="117" spans="1:17" x14ac:dyDescent="0.25">
      <c r="A117" t="s">
        <v>18</v>
      </c>
      <c r="B117" t="str">
        <f t="shared" si="6"/>
        <v>P-116</v>
      </c>
      <c r="C117" t="s">
        <v>14</v>
      </c>
      <c r="D117">
        <v>5</v>
      </c>
      <c r="E117">
        <v>6</v>
      </c>
      <c r="F117">
        <v>570000</v>
      </c>
      <c r="G117" t="s">
        <v>10</v>
      </c>
      <c r="H117" t="s">
        <v>9</v>
      </c>
      <c r="I117" t="s">
        <v>9</v>
      </c>
      <c r="J117" t="s">
        <v>9</v>
      </c>
      <c r="K117" t="s">
        <v>9</v>
      </c>
      <c r="L117" t="s">
        <v>9</v>
      </c>
      <c r="M117" t="str">
        <f t="shared" si="7"/>
        <v>No</v>
      </c>
      <c r="N117" t="str">
        <f t="shared" si="8"/>
        <v>Yes</v>
      </c>
      <c r="O117" t="str">
        <f t="shared" si="9"/>
        <v>Yes</v>
      </c>
      <c r="P117" t="str">
        <f t="shared" si="10"/>
        <v>Yes</v>
      </c>
      <c r="Q117" t="str">
        <f t="shared" si="11"/>
        <v>Yes</v>
      </c>
    </row>
    <row r="118" spans="1:17" x14ac:dyDescent="0.25">
      <c r="A118" t="s">
        <v>18</v>
      </c>
      <c r="B118" t="str">
        <f t="shared" si="6"/>
        <v>P-117</v>
      </c>
      <c r="C118" t="s">
        <v>7</v>
      </c>
      <c r="D118">
        <v>1</v>
      </c>
      <c r="E118">
        <v>1</v>
      </c>
      <c r="F118">
        <v>90000</v>
      </c>
      <c r="G118" t="s">
        <v>9</v>
      </c>
      <c r="H118" t="s">
        <v>9</v>
      </c>
      <c r="I118" t="s">
        <v>9</v>
      </c>
      <c r="J118" t="s">
        <v>10</v>
      </c>
      <c r="K118" t="s">
        <v>9</v>
      </c>
      <c r="L118" t="s">
        <v>9</v>
      </c>
      <c r="M118" t="str">
        <f t="shared" si="7"/>
        <v>Yes</v>
      </c>
      <c r="N118" t="str">
        <f t="shared" si="8"/>
        <v>Yes</v>
      </c>
      <c r="O118" t="str">
        <f t="shared" si="9"/>
        <v>Yes</v>
      </c>
      <c r="P118" t="str">
        <f t="shared" si="10"/>
        <v>No</v>
      </c>
      <c r="Q118" t="str">
        <f t="shared" si="11"/>
        <v>Yes</v>
      </c>
    </row>
    <row r="119" spans="1:17" x14ac:dyDescent="0.25">
      <c r="A119" t="s">
        <v>18</v>
      </c>
      <c r="B119" t="str">
        <f t="shared" si="6"/>
        <v>P-118</v>
      </c>
      <c r="C119" t="s">
        <v>40</v>
      </c>
      <c r="D119">
        <v>5</v>
      </c>
      <c r="E119">
        <v>5</v>
      </c>
      <c r="F119">
        <v>520000</v>
      </c>
      <c r="G119" t="s">
        <v>10</v>
      </c>
      <c r="H119" t="s">
        <v>9</v>
      </c>
      <c r="I119" t="s">
        <v>10</v>
      </c>
      <c r="J119" t="s">
        <v>10</v>
      </c>
      <c r="K119" t="s">
        <v>9</v>
      </c>
      <c r="L119" t="s">
        <v>9</v>
      </c>
      <c r="M119" t="str">
        <f t="shared" si="7"/>
        <v>No</v>
      </c>
      <c r="N119" t="str">
        <f t="shared" si="8"/>
        <v>Yes</v>
      </c>
      <c r="O119" t="str">
        <f t="shared" si="9"/>
        <v>No</v>
      </c>
      <c r="P119" t="str">
        <f t="shared" si="10"/>
        <v>No</v>
      </c>
      <c r="Q119" t="str">
        <f t="shared" si="11"/>
        <v>Yes</v>
      </c>
    </row>
    <row r="120" spans="1:17" x14ac:dyDescent="0.25">
      <c r="A120" t="s">
        <v>18</v>
      </c>
      <c r="B120" t="str">
        <f t="shared" si="6"/>
        <v>P-119</v>
      </c>
      <c r="C120" t="s">
        <v>40</v>
      </c>
      <c r="D120">
        <v>5</v>
      </c>
      <c r="E120">
        <v>6</v>
      </c>
      <c r="F120">
        <v>580000</v>
      </c>
      <c r="G120" t="s">
        <v>10</v>
      </c>
      <c r="H120" t="s">
        <v>9</v>
      </c>
      <c r="I120" t="s">
        <v>10</v>
      </c>
      <c r="J120" t="s">
        <v>10</v>
      </c>
      <c r="K120" t="s">
        <v>9</v>
      </c>
      <c r="L120" t="s">
        <v>9</v>
      </c>
      <c r="M120" t="str">
        <f t="shared" si="7"/>
        <v>No</v>
      </c>
      <c r="N120" t="str">
        <f t="shared" si="8"/>
        <v>Yes</v>
      </c>
      <c r="O120" t="str">
        <f t="shared" si="9"/>
        <v>No</v>
      </c>
      <c r="P120" t="str">
        <f t="shared" si="10"/>
        <v>No</v>
      </c>
      <c r="Q120" t="str">
        <f t="shared" si="11"/>
        <v>Yes</v>
      </c>
    </row>
    <row r="121" spans="1:17" x14ac:dyDescent="0.25">
      <c r="A121" t="s">
        <v>18</v>
      </c>
      <c r="B121" t="str">
        <f t="shared" si="6"/>
        <v>P-120</v>
      </c>
      <c r="C121" t="s">
        <v>14</v>
      </c>
      <c r="D121">
        <v>3</v>
      </c>
      <c r="E121">
        <v>3</v>
      </c>
      <c r="F121">
        <v>270000</v>
      </c>
      <c r="G121" t="s">
        <v>10</v>
      </c>
      <c r="H121" t="s">
        <v>9</v>
      </c>
      <c r="I121" t="s">
        <v>10</v>
      </c>
      <c r="J121" t="s">
        <v>10</v>
      </c>
      <c r="K121" t="s">
        <v>9</v>
      </c>
      <c r="L121" t="s">
        <v>9</v>
      </c>
      <c r="M121" t="str">
        <f t="shared" si="7"/>
        <v>No</v>
      </c>
      <c r="N121" t="str">
        <f t="shared" si="8"/>
        <v>Yes</v>
      </c>
      <c r="O121" t="str">
        <f t="shared" si="9"/>
        <v>No</v>
      </c>
      <c r="P121" t="str">
        <f t="shared" si="10"/>
        <v>No</v>
      </c>
      <c r="Q121" t="str">
        <f t="shared" si="11"/>
        <v>Yes</v>
      </c>
    </row>
    <row r="122" spans="1:17" x14ac:dyDescent="0.25">
      <c r="A122" t="s">
        <v>18</v>
      </c>
      <c r="B122" t="str">
        <f t="shared" si="6"/>
        <v>P-121</v>
      </c>
      <c r="C122" t="s">
        <v>40</v>
      </c>
      <c r="D122">
        <v>4</v>
      </c>
      <c r="E122">
        <v>4</v>
      </c>
      <c r="F122">
        <v>450000</v>
      </c>
      <c r="G122" t="s">
        <v>10</v>
      </c>
      <c r="H122" t="s">
        <v>9</v>
      </c>
      <c r="I122" t="s">
        <v>10</v>
      </c>
      <c r="J122" t="s">
        <v>10</v>
      </c>
      <c r="K122" t="s">
        <v>9</v>
      </c>
      <c r="L122" t="s">
        <v>9</v>
      </c>
      <c r="M122" t="str">
        <f t="shared" si="7"/>
        <v>No</v>
      </c>
      <c r="N122" t="str">
        <f t="shared" si="8"/>
        <v>Yes</v>
      </c>
      <c r="O122" t="str">
        <f t="shared" si="9"/>
        <v>No</v>
      </c>
      <c r="P122" t="str">
        <f t="shared" si="10"/>
        <v>No</v>
      </c>
      <c r="Q122" t="str">
        <f t="shared" si="11"/>
        <v>Yes</v>
      </c>
    </row>
    <row r="123" spans="1:17" x14ac:dyDescent="0.25">
      <c r="A123" t="s">
        <v>25</v>
      </c>
      <c r="B123" t="str">
        <f t="shared" si="6"/>
        <v>P-122</v>
      </c>
      <c r="C123" t="s">
        <v>7</v>
      </c>
      <c r="D123">
        <v>3</v>
      </c>
      <c r="E123">
        <v>3</v>
      </c>
      <c r="F123">
        <v>220000</v>
      </c>
      <c r="G123" t="s">
        <v>10</v>
      </c>
      <c r="H123" t="s">
        <v>9</v>
      </c>
      <c r="I123" t="s">
        <v>9</v>
      </c>
      <c r="J123" t="s">
        <v>9</v>
      </c>
      <c r="K123" t="s">
        <v>9</v>
      </c>
      <c r="L123" t="s">
        <v>9</v>
      </c>
      <c r="M123" t="str">
        <f t="shared" si="7"/>
        <v>No</v>
      </c>
      <c r="N123" t="str">
        <f t="shared" si="8"/>
        <v>Yes</v>
      </c>
      <c r="O123" t="str">
        <f t="shared" si="9"/>
        <v>Yes</v>
      </c>
      <c r="P123" t="str">
        <f t="shared" si="10"/>
        <v>Yes</v>
      </c>
      <c r="Q123" t="str">
        <f t="shared" si="11"/>
        <v>Yes</v>
      </c>
    </row>
    <row r="124" spans="1:17" x14ac:dyDescent="0.25">
      <c r="A124" t="s">
        <v>25</v>
      </c>
      <c r="B124" t="str">
        <f t="shared" si="6"/>
        <v>P-123</v>
      </c>
      <c r="C124" t="s">
        <v>7</v>
      </c>
      <c r="D124">
        <v>3</v>
      </c>
      <c r="E124">
        <v>4</v>
      </c>
      <c r="F124">
        <v>220000</v>
      </c>
      <c r="G124" t="s">
        <v>10</v>
      </c>
      <c r="H124" t="s">
        <v>9</v>
      </c>
      <c r="I124" t="s">
        <v>9</v>
      </c>
      <c r="J124" t="s">
        <v>9</v>
      </c>
      <c r="K124" t="s">
        <v>9</v>
      </c>
      <c r="L124" t="s">
        <v>9</v>
      </c>
      <c r="M124" t="str">
        <f t="shared" si="7"/>
        <v>No</v>
      </c>
      <c r="N124" t="str">
        <f t="shared" si="8"/>
        <v>Yes</v>
      </c>
      <c r="O124" t="str">
        <f t="shared" si="9"/>
        <v>Yes</v>
      </c>
      <c r="P124" t="str">
        <f t="shared" si="10"/>
        <v>Yes</v>
      </c>
      <c r="Q124" t="str">
        <f t="shared" si="11"/>
        <v>Yes</v>
      </c>
    </row>
    <row r="125" spans="1:17" x14ac:dyDescent="0.25">
      <c r="A125" t="s">
        <v>25</v>
      </c>
      <c r="B125" t="str">
        <f t="shared" si="6"/>
        <v>P-124</v>
      </c>
      <c r="C125" t="s">
        <v>7</v>
      </c>
      <c r="D125">
        <v>3</v>
      </c>
      <c r="E125">
        <v>4</v>
      </c>
      <c r="F125">
        <v>320000</v>
      </c>
      <c r="G125" t="s">
        <v>10</v>
      </c>
      <c r="H125" t="s">
        <v>9</v>
      </c>
      <c r="I125" t="s">
        <v>9</v>
      </c>
      <c r="J125" t="s">
        <v>9</v>
      </c>
      <c r="K125" t="s">
        <v>9</v>
      </c>
      <c r="L125" t="s">
        <v>9</v>
      </c>
      <c r="M125" t="str">
        <f t="shared" si="7"/>
        <v>No</v>
      </c>
      <c r="N125" t="str">
        <f t="shared" si="8"/>
        <v>Yes</v>
      </c>
      <c r="O125" t="str">
        <f t="shared" si="9"/>
        <v>Yes</v>
      </c>
      <c r="P125" t="str">
        <f t="shared" si="10"/>
        <v>Yes</v>
      </c>
      <c r="Q125" t="str">
        <f t="shared" si="11"/>
        <v>Yes</v>
      </c>
    </row>
    <row r="126" spans="1:17" x14ac:dyDescent="0.25">
      <c r="A126" t="s">
        <v>25</v>
      </c>
      <c r="B126" t="str">
        <f t="shared" si="6"/>
        <v>P-125</v>
      </c>
      <c r="C126" t="s">
        <v>7</v>
      </c>
      <c r="D126">
        <v>3</v>
      </c>
      <c r="E126">
        <v>4</v>
      </c>
      <c r="F126">
        <v>320000</v>
      </c>
      <c r="G126" t="s">
        <v>9</v>
      </c>
      <c r="H126" t="s">
        <v>9</v>
      </c>
      <c r="I126" t="s">
        <v>9</v>
      </c>
      <c r="J126" t="s">
        <v>9</v>
      </c>
      <c r="K126" t="s">
        <v>9</v>
      </c>
      <c r="L126" t="s">
        <v>9</v>
      </c>
      <c r="M126" t="str">
        <f t="shared" si="7"/>
        <v>Yes</v>
      </c>
      <c r="N126" t="str">
        <f t="shared" si="8"/>
        <v>Yes</v>
      </c>
      <c r="O126" t="str">
        <f t="shared" si="9"/>
        <v>Yes</v>
      </c>
      <c r="P126" t="str">
        <f t="shared" si="10"/>
        <v>Yes</v>
      </c>
      <c r="Q126" t="str">
        <f t="shared" si="11"/>
        <v>Yes</v>
      </c>
    </row>
    <row r="127" spans="1:17" x14ac:dyDescent="0.25">
      <c r="A127" t="s">
        <v>25</v>
      </c>
      <c r="B127" t="str">
        <f t="shared" si="6"/>
        <v>P-126</v>
      </c>
      <c r="C127" t="s">
        <v>7</v>
      </c>
      <c r="D127">
        <v>2</v>
      </c>
      <c r="E127">
        <v>2</v>
      </c>
      <c r="F127">
        <v>80000</v>
      </c>
      <c r="G127" t="s">
        <v>10</v>
      </c>
      <c r="H127" t="s">
        <v>9</v>
      </c>
      <c r="I127" t="s">
        <v>9</v>
      </c>
      <c r="J127" t="s">
        <v>10</v>
      </c>
      <c r="K127" t="s">
        <v>9</v>
      </c>
      <c r="L127" t="s">
        <v>9</v>
      </c>
      <c r="M127" t="str">
        <f t="shared" si="7"/>
        <v>No</v>
      </c>
      <c r="N127" t="str">
        <f t="shared" si="8"/>
        <v>Yes</v>
      </c>
      <c r="O127" t="str">
        <f t="shared" si="9"/>
        <v>Yes</v>
      </c>
      <c r="P127" t="str">
        <f t="shared" si="10"/>
        <v>No</v>
      </c>
      <c r="Q127" t="str">
        <f t="shared" si="11"/>
        <v>Yes</v>
      </c>
    </row>
    <row r="128" spans="1:17" x14ac:dyDescent="0.25">
      <c r="A128" t="s">
        <v>25</v>
      </c>
      <c r="B128" t="str">
        <f t="shared" si="6"/>
        <v>P-127</v>
      </c>
      <c r="C128" t="s">
        <v>7</v>
      </c>
      <c r="D128">
        <v>2</v>
      </c>
      <c r="E128">
        <v>2</v>
      </c>
      <c r="F128">
        <v>80000</v>
      </c>
      <c r="G128" t="s">
        <v>10</v>
      </c>
      <c r="H128" t="s">
        <v>9</v>
      </c>
      <c r="I128" t="s">
        <v>9</v>
      </c>
      <c r="J128" t="s">
        <v>10</v>
      </c>
      <c r="K128" t="s">
        <v>9</v>
      </c>
      <c r="L128" t="s">
        <v>9</v>
      </c>
      <c r="M128" t="str">
        <f t="shared" si="7"/>
        <v>No</v>
      </c>
      <c r="N128" t="str">
        <f t="shared" si="8"/>
        <v>Yes</v>
      </c>
      <c r="O128" t="str">
        <f t="shared" si="9"/>
        <v>Yes</v>
      </c>
      <c r="P128" t="str">
        <f t="shared" si="10"/>
        <v>No</v>
      </c>
      <c r="Q128" t="str">
        <f t="shared" si="11"/>
        <v>Yes</v>
      </c>
    </row>
    <row r="129" spans="1:17" x14ac:dyDescent="0.25">
      <c r="A129" t="s">
        <v>25</v>
      </c>
      <c r="B129" t="str">
        <f t="shared" si="6"/>
        <v>P-128</v>
      </c>
      <c r="C129" t="s">
        <v>7</v>
      </c>
      <c r="D129">
        <v>5</v>
      </c>
      <c r="E129">
        <v>6</v>
      </c>
      <c r="F129">
        <v>135000</v>
      </c>
      <c r="G129" t="s">
        <v>10</v>
      </c>
      <c r="H129" t="s">
        <v>9</v>
      </c>
      <c r="I129" t="s">
        <v>9</v>
      </c>
      <c r="J129" t="s">
        <v>9</v>
      </c>
      <c r="K129" t="s">
        <v>9</v>
      </c>
      <c r="L129" t="s">
        <v>9</v>
      </c>
      <c r="M129" t="str">
        <f t="shared" si="7"/>
        <v>No</v>
      </c>
      <c r="N129" t="str">
        <f t="shared" si="8"/>
        <v>Yes</v>
      </c>
      <c r="O129" t="str">
        <f t="shared" si="9"/>
        <v>Yes</v>
      </c>
      <c r="P129" t="str">
        <f t="shared" si="10"/>
        <v>Yes</v>
      </c>
      <c r="Q129" t="str">
        <f t="shared" si="11"/>
        <v>Yes</v>
      </c>
    </row>
    <row r="130" spans="1:17" x14ac:dyDescent="0.25">
      <c r="A130" t="s">
        <v>25</v>
      </c>
      <c r="B130" t="str">
        <f t="shared" ref="B130:B193" si="12">"P-"&amp;TEXT(ROW(A130)-1,"000")</f>
        <v>P-129</v>
      </c>
      <c r="C130" t="s">
        <v>7</v>
      </c>
      <c r="D130">
        <v>5</v>
      </c>
      <c r="E130">
        <v>4</v>
      </c>
      <c r="F130">
        <v>135000</v>
      </c>
      <c r="G130" t="s">
        <v>10</v>
      </c>
      <c r="H130" t="s">
        <v>9</v>
      </c>
      <c r="I130" t="s">
        <v>9</v>
      </c>
      <c r="J130" t="s">
        <v>9</v>
      </c>
      <c r="K130" t="s">
        <v>9</v>
      </c>
      <c r="L130" t="s">
        <v>9</v>
      </c>
      <c r="M130" t="str">
        <f t="shared" ref="M130:M193" si="13">PROPER(TRIM(G130))</f>
        <v>No</v>
      </c>
      <c r="N130" t="str">
        <f t="shared" ref="N130:N193" si="14">PROPER(TRIM(H130))</f>
        <v>Yes</v>
      </c>
      <c r="O130" t="str">
        <f t="shared" ref="O130:O193" si="15">PROPER(TRIM(I130))</f>
        <v>Yes</v>
      </c>
      <c r="P130" t="str">
        <f t="shared" ref="P130:P193" si="16">PROPER(TRIM(J130))</f>
        <v>Yes</v>
      </c>
      <c r="Q130" t="str">
        <f t="shared" ref="Q130:Q193" si="17">PROPER(TRIM(L130))</f>
        <v>Yes</v>
      </c>
    </row>
    <row r="131" spans="1:17" x14ac:dyDescent="0.25">
      <c r="A131" t="s">
        <v>25</v>
      </c>
      <c r="B131" t="str">
        <f t="shared" si="12"/>
        <v>P-130</v>
      </c>
      <c r="C131" t="s">
        <v>7</v>
      </c>
      <c r="D131">
        <v>3</v>
      </c>
      <c r="E131">
        <v>3</v>
      </c>
      <c r="F131">
        <v>250000</v>
      </c>
      <c r="G131" t="s">
        <v>10</v>
      </c>
      <c r="H131" t="s">
        <v>9</v>
      </c>
      <c r="I131" t="s">
        <v>9</v>
      </c>
      <c r="J131" t="s">
        <v>10</v>
      </c>
      <c r="K131" t="s">
        <v>9</v>
      </c>
      <c r="L131" t="s">
        <v>9</v>
      </c>
      <c r="M131" t="str">
        <f t="shared" si="13"/>
        <v>No</v>
      </c>
      <c r="N131" t="str">
        <f t="shared" si="14"/>
        <v>Yes</v>
      </c>
      <c r="O131" t="str">
        <f t="shared" si="15"/>
        <v>Yes</v>
      </c>
      <c r="P131" t="str">
        <f t="shared" si="16"/>
        <v>No</v>
      </c>
      <c r="Q131" t="str">
        <f t="shared" si="17"/>
        <v>Yes</v>
      </c>
    </row>
    <row r="132" spans="1:17" x14ac:dyDescent="0.25">
      <c r="A132" t="s">
        <v>25</v>
      </c>
      <c r="B132" t="str">
        <f t="shared" si="12"/>
        <v>P-131</v>
      </c>
      <c r="C132" t="s">
        <v>7</v>
      </c>
      <c r="D132">
        <v>5</v>
      </c>
      <c r="E132">
        <v>5</v>
      </c>
      <c r="F132">
        <v>175000</v>
      </c>
      <c r="G132" t="s">
        <v>10</v>
      </c>
      <c r="H132" t="s">
        <v>9</v>
      </c>
      <c r="I132" t="s">
        <v>9</v>
      </c>
      <c r="J132" t="s">
        <v>10</v>
      </c>
      <c r="K132" t="s">
        <v>9</v>
      </c>
      <c r="L132" t="s">
        <v>9</v>
      </c>
      <c r="M132" t="str">
        <f t="shared" si="13"/>
        <v>No</v>
      </c>
      <c r="N132" t="str">
        <f t="shared" si="14"/>
        <v>Yes</v>
      </c>
      <c r="O132" t="str">
        <f t="shared" si="15"/>
        <v>Yes</v>
      </c>
      <c r="P132" t="str">
        <f t="shared" si="16"/>
        <v>No</v>
      </c>
      <c r="Q132" t="str">
        <f t="shared" si="17"/>
        <v>Yes</v>
      </c>
    </row>
    <row r="133" spans="1:17" x14ac:dyDescent="0.25">
      <c r="A133" t="s">
        <v>25</v>
      </c>
      <c r="B133" t="str">
        <f t="shared" si="12"/>
        <v>P-132</v>
      </c>
      <c r="C133" t="s">
        <v>7</v>
      </c>
      <c r="D133">
        <v>3</v>
      </c>
      <c r="E133">
        <v>3</v>
      </c>
      <c r="F133">
        <v>120000</v>
      </c>
      <c r="G133" t="s">
        <v>10</v>
      </c>
      <c r="H133" t="s">
        <v>9</v>
      </c>
      <c r="I133" t="s">
        <v>10</v>
      </c>
      <c r="J133" t="s">
        <v>10</v>
      </c>
      <c r="K133" t="s">
        <v>9</v>
      </c>
      <c r="L133" t="s">
        <v>9</v>
      </c>
      <c r="M133" t="str">
        <f t="shared" si="13"/>
        <v>No</v>
      </c>
      <c r="N133" t="str">
        <f t="shared" si="14"/>
        <v>Yes</v>
      </c>
      <c r="O133" t="str">
        <f t="shared" si="15"/>
        <v>No</v>
      </c>
      <c r="P133" t="str">
        <f t="shared" si="16"/>
        <v>No</v>
      </c>
      <c r="Q133" t="str">
        <f t="shared" si="17"/>
        <v>Yes</v>
      </c>
    </row>
    <row r="134" spans="1:17" x14ac:dyDescent="0.25">
      <c r="A134" t="s">
        <v>25</v>
      </c>
      <c r="B134" t="str">
        <f t="shared" si="12"/>
        <v>P-133</v>
      </c>
      <c r="C134" t="s">
        <v>7</v>
      </c>
      <c r="D134">
        <v>3</v>
      </c>
      <c r="E134">
        <v>3</v>
      </c>
      <c r="F134">
        <v>280000</v>
      </c>
      <c r="G134" t="s">
        <v>10</v>
      </c>
      <c r="H134" t="s">
        <v>9</v>
      </c>
      <c r="I134" t="s">
        <v>9</v>
      </c>
      <c r="J134" t="s">
        <v>9</v>
      </c>
      <c r="K134" t="s">
        <v>9</v>
      </c>
      <c r="L134" t="s">
        <v>9</v>
      </c>
      <c r="M134" t="str">
        <f t="shared" si="13"/>
        <v>No</v>
      </c>
      <c r="N134" t="str">
        <f t="shared" si="14"/>
        <v>Yes</v>
      </c>
      <c r="O134" t="str">
        <f t="shared" si="15"/>
        <v>Yes</v>
      </c>
      <c r="P134" t="str">
        <f t="shared" si="16"/>
        <v>Yes</v>
      </c>
      <c r="Q134" t="str">
        <f t="shared" si="17"/>
        <v>Yes</v>
      </c>
    </row>
    <row r="135" spans="1:17" x14ac:dyDescent="0.25">
      <c r="A135" t="s">
        <v>25</v>
      </c>
      <c r="B135" t="str">
        <f t="shared" si="12"/>
        <v>P-134</v>
      </c>
      <c r="C135" t="s">
        <v>7</v>
      </c>
      <c r="D135">
        <v>4</v>
      </c>
      <c r="E135">
        <v>3</v>
      </c>
      <c r="F135">
        <v>100000</v>
      </c>
      <c r="G135" t="s">
        <v>10</v>
      </c>
      <c r="H135" t="s">
        <v>9</v>
      </c>
      <c r="I135" t="s">
        <v>10</v>
      </c>
      <c r="J135" t="s">
        <v>10</v>
      </c>
      <c r="K135" t="s">
        <v>9</v>
      </c>
      <c r="L135" t="s">
        <v>9</v>
      </c>
      <c r="M135" t="str">
        <f t="shared" si="13"/>
        <v>No</v>
      </c>
      <c r="N135" t="str">
        <f t="shared" si="14"/>
        <v>Yes</v>
      </c>
      <c r="O135" t="str">
        <f t="shared" si="15"/>
        <v>No</v>
      </c>
      <c r="P135" t="str">
        <f t="shared" si="16"/>
        <v>No</v>
      </c>
      <c r="Q135" t="str">
        <f t="shared" si="17"/>
        <v>Yes</v>
      </c>
    </row>
    <row r="136" spans="1:17" x14ac:dyDescent="0.25">
      <c r="A136" t="s">
        <v>25</v>
      </c>
      <c r="B136" t="str">
        <f t="shared" si="12"/>
        <v>P-135</v>
      </c>
      <c r="C136" t="s">
        <v>7</v>
      </c>
      <c r="D136">
        <v>4</v>
      </c>
      <c r="E136">
        <v>4</v>
      </c>
      <c r="F136">
        <v>380000</v>
      </c>
      <c r="G136" t="s">
        <v>10</v>
      </c>
      <c r="H136" t="s">
        <v>9</v>
      </c>
      <c r="I136" t="s">
        <v>9</v>
      </c>
      <c r="J136" t="s">
        <v>9</v>
      </c>
      <c r="K136" t="s">
        <v>9</v>
      </c>
      <c r="L136" t="s">
        <v>9</v>
      </c>
      <c r="M136" t="str">
        <f t="shared" si="13"/>
        <v>No</v>
      </c>
      <c r="N136" t="str">
        <f t="shared" si="14"/>
        <v>Yes</v>
      </c>
      <c r="O136" t="str">
        <f t="shared" si="15"/>
        <v>Yes</v>
      </c>
      <c r="P136" t="str">
        <f t="shared" si="16"/>
        <v>Yes</v>
      </c>
      <c r="Q136" t="str">
        <f t="shared" si="17"/>
        <v>Yes</v>
      </c>
    </row>
    <row r="137" spans="1:17" x14ac:dyDescent="0.25">
      <c r="A137" t="s">
        <v>25</v>
      </c>
      <c r="B137" t="str">
        <f t="shared" si="12"/>
        <v>P-136</v>
      </c>
      <c r="C137" t="s">
        <v>7</v>
      </c>
      <c r="D137">
        <v>3</v>
      </c>
      <c r="E137">
        <v>3</v>
      </c>
      <c r="F137">
        <v>290000</v>
      </c>
      <c r="G137" t="s">
        <v>10</v>
      </c>
      <c r="H137" t="s">
        <v>9</v>
      </c>
      <c r="I137" t="s">
        <v>9</v>
      </c>
      <c r="J137" t="s">
        <v>9</v>
      </c>
      <c r="K137" t="s">
        <v>9</v>
      </c>
      <c r="L137" t="s">
        <v>9</v>
      </c>
      <c r="M137" t="str">
        <f t="shared" si="13"/>
        <v>No</v>
      </c>
      <c r="N137" t="str">
        <f t="shared" si="14"/>
        <v>Yes</v>
      </c>
      <c r="O137" t="str">
        <f t="shared" si="15"/>
        <v>Yes</v>
      </c>
      <c r="P137" t="str">
        <f t="shared" si="16"/>
        <v>Yes</v>
      </c>
      <c r="Q137" t="str">
        <f t="shared" si="17"/>
        <v>Yes</v>
      </c>
    </row>
    <row r="138" spans="1:17" x14ac:dyDescent="0.25">
      <c r="A138" t="s">
        <v>25</v>
      </c>
      <c r="B138" t="str">
        <f t="shared" si="12"/>
        <v>P-137</v>
      </c>
      <c r="C138" t="s">
        <v>7</v>
      </c>
      <c r="D138">
        <v>2</v>
      </c>
      <c r="E138">
        <v>2</v>
      </c>
      <c r="F138">
        <v>150000</v>
      </c>
      <c r="G138" t="s">
        <v>9</v>
      </c>
      <c r="H138" t="s">
        <v>9</v>
      </c>
      <c r="I138" t="s">
        <v>9</v>
      </c>
      <c r="J138" t="s">
        <v>9</v>
      </c>
      <c r="K138" t="s">
        <v>9</v>
      </c>
      <c r="L138" t="s">
        <v>9</v>
      </c>
      <c r="M138" t="str">
        <f t="shared" si="13"/>
        <v>Yes</v>
      </c>
      <c r="N138" t="str">
        <f t="shared" si="14"/>
        <v>Yes</v>
      </c>
      <c r="O138" t="str">
        <f t="shared" si="15"/>
        <v>Yes</v>
      </c>
      <c r="P138" t="str">
        <f t="shared" si="16"/>
        <v>Yes</v>
      </c>
      <c r="Q138" t="str">
        <f t="shared" si="17"/>
        <v>Yes</v>
      </c>
    </row>
    <row r="139" spans="1:17" x14ac:dyDescent="0.25">
      <c r="A139" t="s">
        <v>25</v>
      </c>
      <c r="B139" t="str">
        <f t="shared" si="12"/>
        <v>P-138</v>
      </c>
      <c r="C139" t="s">
        <v>7</v>
      </c>
      <c r="D139">
        <v>4</v>
      </c>
      <c r="E139">
        <v>4</v>
      </c>
      <c r="F139">
        <v>280000</v>
      </c>
      <c r="G139" t="s">
        <v>9</v>
      </c>
      <c r="H139" t="s">
        <v>9</v>
      </c>
      <c r="I139" t="s">
        <v>10</v>
      </c>
      <c r="J139" t="s">
        <v>9</v>
      </c>
      <c r="K139" t="s">
        <v>9</v>
      </c>
      <c r="L139" t="s">
        <v>9</v>
      </c>
      <c r="M139" t="str">
        <f t="shared" si="13"/>
        <v>Yes</v>
      </c>
      <c r="N139" t="str">
        <f t="shared" si="14"/>
        <v>Yes</v>
      </c>
      <c r="O139" t="str">
        <f t="shared" si="15"/>
        <v>No</v>
      </c>
      <c r="P139" t="str">
        <f t="shared" si="16"/>
        <v>Yes</v>
      </c>
      <c r="Q139" t="str">
        <f t="shared" si="17"/>
        <v>Yes</v>
      </c>
    </row>
    <row r="140" spans="1:17" x14ac:dyDescent="0.25">
      <c r="A140" t="s">
        <v>25</v>
      </c>
      <c r="B140" t="str">
        <f t="shared" si="12"/>
        <v>P-139</v>
      </c>
      <c r="C140" t="s">
        <v>7</v>
      </c>
      <c r="D140">
        <v>4</v>
      </c>
      <c r="E140">
        <v>4</v>
      </c>
      <c r="F140">
        <v>160000</v>
      </c>
      <c r="G140" t="s">
        <v>10</v>
      </c>
      <c r="H140" t="s">
        <v>9</v>
      </c>
      <c r="I140" t="s">
        <v>10</v>
      </c>
      <c r="J140" t="s">
        <v>9</v>
      </c>
      <c r="K140" t="s">
        <v>9</v>
      </c>
      <c r="L140" t="s">
        <v>9</v>
      </c>
      <c r="M140" t="str">
        <f t="shared" si="13"/>
        <v>No</v>
      </c>
      <c r="N140" t="str">
        <f t="shared" si="14"/>
        <v>Yes</v>
      </c>
      <c r="O140" t="str">
        <f t="shared" si="15"/>
        <v>No</v>
      </c>
      <c r="P140" t="str">
        <f t="shared" si="16"/>
        <v>Yes</v>
      </c>
      <c r="Q140" t="str">
        <f t="shared" si="17"/>
        <v>Yes</v>
      </c>
    </row>
    <row r="141" spans="1:17" x14ac:dyDescent="0.25">
      <c r="A141" t="s">
        <v>26</v>
      </c>
      <c r="B141" t="str">
        <f t="shared" si="12"/>
        <v>P-140</v>
      </c>
      <c r="C141" t="s">
        <v>7</v>
      </c>
      <c r="D141">
        <v>2</v>
      </c>
      <c r="E141">
        <v>2</v>
      </c>
      <c r="F141">
        <v>220000</v>
      </c>
      <c r="G141" t="s">
        <v>9</v>
      </c>
      <c r="H141" t="s">
        <v>9</v>
      </c>
      <c r="I141" t="s">
        <v>9</v>
      </c>
      <c r="J141" t="s">
        <v>9</v>
      </c>
      <c r="K141" t="s">
        <v>9</v>
      </c>
      <c r="L141" t="s">
        <v>9</v>
      </c>
      <c r="M141" t="str">
        <f t="shared" si="13"/>
        <v>Yes</v>
      </c>
      <c r="N141" t="str">
        <f t="shared" si="14"/>
        <v>Yes</v>
      </c>
      <c r="O141" t="str">
        <f t="shared" si="15"/>
        <v>Yes</v>
      </c>
      <c r="P141" t="str">
        <f t="shared" si="16"/>
        <v>Yes</v>
      </c>
      <c r="Q141" t="str">
        <f t="shared" si="17"/>
        <v>Yes</v>
      </c>
    </row>
    <row r="142" spans="1:17" x14ac:dyDescent="0.25">
      <c r="A142" t="s">
        <v>26</v>
      </c>
      <c r="B142" t="str">
        <f t="shared" si="12"/>
        <v>P-141</v>
      </c>
      <c r="C142" t="s">
        <v>14</v>
      </c>
      <c r="D142">
        <v>4</v>
      </c>
      <c r="E142">
        <v>3</v>
      </c>
      <c r="F142">
        <v>190000</v>
      </c>
      <c r="G142" t="s">
        <v>10</v>
      </c>
      <c r="H142" t="s">
        <v>9</v>
      </c>
      <c r="I142" t="s">
        <v>10</v>
      </c>
      <c r="J142" t="s">
        <v>10</v>
      </c>
      <c r="K142" t="s">
        <v>9</v>
      </c>
      <c r="L142" t="s">
        <v>9</v>
      </c>
      <c r="M142" t="str">
        <f t="shared" si="13"/>
        <v>No</v>
      </c>
      <c r="N142" t="str">
        <f t="shared" si="14"/>
        <v>Yes</v>
      </c>
      <c r="O142" t="str">
        <f t="shared" si="15"/>
        <v>No</v>
      </c>
      <c r="P142" t="str">
        <f t="shared" si="16"/>
        <v>No</v>
      </c>
      <c r="Q142" t="str">
        <f t="shared" si="17"/>
        <v>Yes</v>
      </c>
    </row>
    <row r="143" spans="1:17" x14ac:dyDescent="0.25">
      <c r="A143" t="s">
        <v>26</v>
      </c>
      <c r="B143" t="str">
        <f t="shared" si="12"/>
        <v>P-142</v>
      </c>
      <c r="C143" t="s">
        <v>7</v>
      </c>
      <c r="D143">
        <v>3</v>
      </c>
      <c r="E143">
        <v>4</v>
      </c>
      <c r="F143">
        <v>130000</v>
      </c>
      <c r="G143" t="s">
        <v>10</v>
      </c>
      <c r="H143" t="s">
        <v>9</v>
      </c>
      <c r="I143" t="s">
        <v>9</v>
      </c>
      <c r="J143" t="s">
        <v>9</v>
      </c>
      <c r="K143" t="s">
        <v>9</v>
      </c>
      <c r="L143" t="s">
        <v>9</v>
      </c>
      <c r="M143" t="str">
        <f t="shared" si="13"/>
        <v>No</v>
      </c>
      <c r="N143" t="str">
        <f t="shared" si="14"/>
        <v>Yes</v>
      </c>
      <c r="O143" t="str">
        <f t="shared" si="15"/>
        <v>Yes</v>
      </c>
      <c r="P143" t="str">
        <f t="shared" si="16"/>
        <v>Yes</v>
      </c>
      <c r="Q143" t="str">
        <f t="shared" si="17"/>
        <v>Yes</v>
      </c>
    </row>
    <row r="144" spans="1:17" x14ac:dyDescent="0.25">
      <c r="A144" t="s">
        <v>26</v>
      </c>
      <c r="B144" t="str">
        <f t="shared" si="12"/>
        <v>P-143</v>
      </c>
      <c r="C144" t="s">
        <v>24</v>
      </c>
      <c r="D144">
        <v>1</v>
      </c>
      <c r="E144">
        <v>1</v>
      </c>
      <c r="F144">
        <v>65000</v>
      </c>
      <c r="G144" t="s">
        <v>9</v>
      </c>
      <c r="H144" t="s">
        <v>9</v>
      </c>
      <c r="I144" t="s">
        <v>9</v>
      </c>
      <c r="J144" t="s">
        <v>10</v>
      </c>
      <c r="K144" t="s">
        <v>9</v>
      </c>
      <c r="L144" t="s">
        <v>9</v>
      </c>
      <c r="M144" t="str">
        <f t="shared" si="13"/>
        <v>Yes</v>
      </c>
      <c r="N144" t="str">
        <f t="shared" si="14"/>
        <v>Yes</v>
      </c>
      <c r="O144" t="str">
        <f t="shared" si="15"/>
        <v>Yes</v>
      </c>
      <c r="P144" t="str">
        <f t="shared" si="16"/>
        <v>No</v>
      </c>
      <c r="Q144" t="str">
        <f t="shared" si="17"/>
        <v>Yes</v>
      </c>
    </row>
    <row r="145" spans="1:17" x14ac:dyDescent="0.25">
      <c r="A145" t="s">
        <v>26</v>
      </c>
      <c r="B145" t="str">
        <f t="shared" si="12"/>
        <v>P-144</v>
      </c>
      <c r="C145" t="s">
        <v>7</v>
      </c>
      <c r="D145">
        <v>4</v>
      </c>
      <c r="E145">
        <v>5</v>
      </c>
      <c r="F145">
        <v>170000</v>
      </c>
      <c r="G145" t="s">
        <v>10</v>
      </c>
      <c r="H145" t="s">
        <v>9</v>
      </c>
      <c r="I145" t="s">
        <v>9</v>
      </c>
      <c r="J145" t="s">
        <v>9</v>
      </c>
      <c r="K145" t="s">
        <v>9</v>
      </c>
      <c r="L145" t="s">
        <v>9</v>
      </c>
      <c r="M145" t="str">
        <f t="shared" si="13"/>
        <v>No</v>
      </c>
      <c r="N145" t="str">
        <f t="shared" si="14"/>
        <v>Yes</v>
      </c>
      <c r="O145" t="str">
        <f t="shared" si="15"/>
        <v>Yes</v>
      </c>
      <c r="P145" t="str">
        <f t="shared" si="16"/>
        <v>Yes</v>
      </c>
      <c r="Q145" t="str">
        <f t="shared" si="17"/>
        <v>Yes</v>
      </c>
    </row>
    <row r="146" spans="1:17" x14ac:dyDescent="0.25">
      <c r="A146" t="s">
        <v>26</v>
      </c>
      <c r="B146" t="str">
        <f t="shared" si="12"/>
        <v>P-145</v>
      </c>
      <c r="C146" t="s">
        <v>24</v>
      </c>
      <c r="D146">
        <v>0</v>
      </c>
      <c r="E146">
        <v>1</v>
      </c>
      <c r="F146">
        <v>65000</v>
      </c>
      <c r="G146" t="s">
        <v>9</v>
      </c>
      <c r="H146" t="s">
        <v>9</v>
      </c>
      <c r="I146" t="s">
        <v>9</v>
      </c>
      <c r="J146" t="s">
        <v>10</v>
      </c>
      <c r="K146" t="s">
        <v>9</v>
      </c>
      <c r="L146" t="s">
        <v>9</v>
      </c>
      <c r="M146" t="str">
        <f t="shared" si="13"/>
        <v>Yes</v>
      </c>
      <c r="N146" t="str">
        <f t="shared" si="14"/>
        <v>Yes</v>
      </c>
      <c r="O146" t="str">
        <f t="shared" si="15"/>
        <v>Yes</v>
      </c>
      <c r="P146" t="str">
        <f t="shared" si="16"/>
        <v>No</v>
      </c>
      <c r="Q146" t="str">
        <f t="shared" si="17"/>
        <v>Yes</v>
      </c>
    </row>
    <row r="147" spans="1:17" x14ac:dyDescent="0.25">
      <c r="A147" t="s">
        <v>26</v>
      </c>
      <c r="B147" t="str">
        <f t="shared" si="12"/>
        <v>P-146</v>
      </c>
      <c r="C147" t="s">
        <v>7</v>
      </c>
      <c r="D147">
        <v>2</v>
      </c>
      <c r="E147">
        <v>2</v>
      </c>
      <c r="F147">
        <v>100000</v>
      </c>
      <c r="G147" t="s">
        <v>10</v>
      </c>
      <c r="H147" t="s">
        <v>9</v>
      </c>
      <c r="I147" t="s">
        <v>9</v>
      </c>
      <c r="J147" t="s">
        <v>9</v>
      </c>
      <c r="K147" t="s">
        <v>9</v>
      </c>
      <c r="L147" t="s">
        <v>9</v>
      </c>
      <c r="M147" t="str">
        <f t="shared" si="13"/>
        <v>No</v>
      </c>
      <c r="N147" t="str">
        <f t="shared" si="14"/>
        <v>Yes</v>
      </c>
      <c r="O147" t="str">
        <f t="shared" si="15"/>
        <v>Yes</v>
      </c>
      <c r="P147" t="str">
        <f t="shared" si="16"/>
        <v>Yes</v>
      </c>
      <c r="Q147" t="str">
        <f t="shared" si="17"/>
        <v>Yes</v>
      </c>
    </row>
    <row r="148" spans="1:17" x14ac:dyDescent="0.25">
      <c r="A148" t="s">
        <v>26</v>
      </c>
      <c r="B148" t="str">
        <f t="shared" si="12"/>
        <v>P-147</v>
      </c>
      <c r="C148" t="s">
        <v>7</v>
      </c>
      <c r="D148">
        <v>3</v>
      </c>
      <c r="E148">
        <v>5</v>
      </c>
      <c r="F148">
        <v>160000</v>
      </c>
      <c r="G148" t="s">
        <v>10</v>
      </c>
      <c r="H148" t="s">
        <v>9</v>
      </c>
      <c r="I148" t="s">
        <v>9</v>
      </c>
      <c r="J148" t="s">
        <v>9</v>
      </c>
      <c r="K148" t="s">
        <v>9</v>
      </c>
      <c r="L148" t="s">
        <v>9</v>
      </c>
      <c r="M148" t="str">
        <f t="shared" si="13"/>
        <v>No</v>
      </c>
      <c r="N148" t="str">
        <f t="shared" si="14"/>
        <v>Yes</v>
      </c>
      <c r="O148" t="str">
        <f t="shared" si="15"/>
        <v>Yes</v>
      </c>
      <c r="P148" t="str">
        <f t="shared" si="16"/>
        <v>Yes</v>
      </c>
      <c r="Q148" t="str">
        <f t="shared" si="17"/>
        <v>Yes</v>
      </c>
    </row>
    <row r="149" spans="1:17" x14ac:dyDescent="0.25">
      <c r="A149" t="s">
        <v>26</v>
      </c>
      <c r="B149" t="str">
        <f t="shared" si="12"/>
        <v>P-148</v>
      </c>
      <c r="C149" t="s">
        <v>7</v>
      </c>
      <c r="D149">
        <v>4</v>
      </c>
      <c r="E149">
        <v>5</v>
      </c>
      <c r="F149">
        <v>520000</v>
      </c>
      <c r="G149" t="s">
        <v>9</v>
      </c>
      <c r="H149" t="s">
        <v>9</v>
      </c>
      <c r="I149" t="s">
        <v>9</v>
      </c>
      <c r="J149" t="s">
        <v>9</v>
      </c>
      <c r="K149" t="s">
        <v>9</v>
      </c>
      <c r="L149" t="s">
        <v>9</v>
      </c>
      <c r="M149" t="str">
        <f t="shared" si="13"/>
        <v>Yes</v>
      </c>
      <c r="N149" t="str">
        <f t="shared" si="14"/>
        <v>Yes</v>
      </c>
      <c r="O149" t="str">
        <f t="shared" si="15"/>
        <v>Yes</v>
      </c>
      <c r="P149" t="str">
        <f t="shared" si="16"/>
        <v>Yes</v>
      </c>
      <c r="Q149" t="str">
        <f t="shared" si="17"/>
        <v>Yes</v>
      </c>
    </row>
    <row r="150" spans="1:17" x14ac:dyDescent="0.25">
      <c r="A150" t="s">
        <v>26</v>
      </c>
      <c r="B150" t="str">
        <f t="shared" si="12"/>
        <v>P-149</v>
      </c>
      <c r="C150" t="s">
        <v>7</v>
      </c>
      <c r="D150">
        <v>3</v>
      </c>
      <c r="E150">
        <v>3</v>
      </c>
      <c r="F150">
        <v>316000</v>
      </c>
      <c r="G150" t="s">
        <v>9</v>
      </c>
      <c r="H150" t="s">
        <v>9</v>
      </c>
      <c r="I150" t="s">
        <v>9</v>
      </c>
      <c r="J150" t="s">
        <v>9</v>
      </c>
      <c r="K150" t="s">
        <v>9</v>
      </c>
      <c r="L150" t="s">
        <v>9</v>
      </c>
      <c r="M150" t="str">
        <f t="shared" si="13"/>
        <v>Yes</v>
      </c>
      <c r="N150" t="str">
        <f t="shared" si="14"/>
        <v>Yes</v>
      </c>
      <c r="O150" t="str">
        <f t="shared" si="15"/>
        <v>Yes</v>
      </c>
      <c r="P150" t="str">
        <f t="shared" si="16"/>
        <v>Yes</v>
      </c>
      <c r="Q150" t="str">
        <f t="shared" si="17"/>
        <v>Yes</v>
      </c>
    </row>
    <row r="151" spans="1:17" x14ac:dyDescent="0.25">
      <c r="A151" t="s">
        <v>26</v>
      </c>
      <c r="B151" t="str">
        <f t="shared" si="12"/>
        <v>P-150</v>
      </c>
      <c r="C151" t="s">
        <v>7</v>
      </c>
      <c r="D151">
        <v>3</v>
      </c>
      <c r="E151">
        <v>2</v>
      </c>
      <c r="F151">
        <v>100000</v>
      </c>
      <c r="G151" t="s">
        <v>10</v>
      </c>
      <c r="H151" t="s">
        <v>9</v>
      </c>
      <c r="I151" t="s">
        <v>10</v>
      </c>
      <c r="J151" t="s">
        <v>10</v>
      </c>
      <c r="K151" t="s">
        <v>9</v>
      </c>
      <c r="L151" t="s">
        <v>9</v>
      </c>
      <c r="M151" t="str">
        <f t="shared" si="13"/>
        <v>No</v>
      </c>
      <c r="N151" t="str">
        <f t="shared" si="14"/>
        <v>Yes</v>
      </c>
      <c r="O151" t="str">
        <f t="shared" si="15"/>
        <v>No</v>
      </c>
      <c r="P151" t="str">
        <f t="shared" si="16"/>
        <v>No</v>
      </c>
      <c r="Q151" t="str">
        <f t="shared" si="17"/>
        <v>Yes</v>
      </c>
    </row>
    <row r="152" spans="1:17" x14ac:dyDescent="0.25">
      <c r="A152" t="s">
        <v>26</v>
      </c>
      <c r="B152" t="str">
        <f t="shared" si="12"/>
        <v>P-151</v>
      </c>
      <c r="C152" t="s">
        <v>24</v>
      </c>
      <c r="D152">
        <v>0</v>
      </c>
      <c r="E152">
        <v>1</v>
      </c>
      <c r="F152">
        <v>85000</v>
      </c>
      <c r="G152" t="s">
        <v>9</v>
      </c>
      <c r="H152" t="s">
        <v>9</v>
      </c>
      <c r="I152" t="s">
        <v>9</v>
      </c>
      <c r="J152" t="s">
        <v>10</v>
      </c>
      <c r="K152" t="s">
        <v>9</v>
      </c>
      <c r="L152" t="s">
        <v>9</v>
      </c>
      <c r="M152" t="str">
        <f t="shared" si="13"/>
        <v>Yes</v>
      </c>
      <c r="N152" t="str">
        <f t="shared" si="14"/>
        <v>Yes</v>
      </c>
      <c r="O152" t="str">
        <f t="shared" si="15"/>
        <v>Yes</v>
      </c>
      <c r="P152" t="str">
        <f t="shared" si="16"/>
        <v>No</v>
      </c>
      <c r="Q152" t="str">
        <f t="shared" si="17"/>
        <v>Yes</v>
      </c>
    </row>
    <row r="153" spans="1:17" x14ac:dyDescent="0.25">
      <c r="A153" t="s">
        <v>26</v>
      </c>
      <c r="B153" t="str">
        <f t="shared" si="12"/>
        <v>P-152</v>
      </c>
      <c r="C153" t="s">
        <v>7</v>
      </c>
      <c r="D153">
        <v>3</v>
      </c>
      <c r="E153">
        <v>4</v>
      </c>
      <c r="F153">
        <v>130000</v>
      </c>
      <c r="G153" t="s">
        <v>10</v>
      </c>
      <c r="H153" t="s">
        <v>9</v>
      </c>
      <c r="I153" t="s">
        <v>9</v>
      </c>
      <c r="J153" t="s">
        <v>9</v>
      </c>
      <c r="K153" t="s">
        <v>9</v>
      </c>
      <c r="L153" t="s">
        <v>9</v>
      </c>
      <c r="M153" t="str">
        <f t="shared" si="13"/>
        <v>No</v>
      </c>
      <c r="N153" t="str">
        <f t="shared" si="14"/>
        <v>Yes</v>
      </c>
      <c r="O153" t="str">
        <f t="shared" si="15"/>
        <v>Yes</v>
      </c>
      <c r="P153" t="str">
        <f t="shared" si="16"/>
        <v>Yes</v>
      </c>
      <c r="Q153" t="str">
        <f t="shared" si="17"/>
        <v>Yes</v>
      </c>
    </row>
    <row r="154" spans="1:17" x14ac:dyDescent="0.25">
      <c r="A154" t="s">
        <v>26</v>
      </c>
      <c r="B154" t="str">
        <f t="shared" si="12"/>
        <v>P-153</v>
      </c>
      <c r="C154" t="s">
        <v>14</v>
      </c>
      <c r="D154">
        <v>5</v>
      </c>
      <c r="E154">
        <v>6</v>
      </c>
      <c r="F154">
        <v>380000</v>
      </c>
      <c r="G154" t="s">
        <v>10</v>
      </c>
      <c r="H154" t="s">
        <v>9</v>
      </c>
      <c r="I154" t="s">
        <v>9</v>
      </c>
      <c r="J154" t="s">
        <v>9</v>
      </c>
      <c r="K154" t="s">
        <v>9</v>
      </c>
      <c r="L154" t="s">
        <v>9</v>
      </c>
      <c r="M154" t="str">
        <f t="shared" si="13"/>
        <v>No</v>
      </c>
      <c r="N154" t="str">
        <f t="shared" si="14"/>
        <v>Yes</v>
      </c>
      <c r="O154" t="str">
        <f t="shared" si="15"/>
        <v>Yes</v>
      </c>
      <c r="P154" t="str">
        <f t="shared" si="16"/>
        <v>Yes</v>
      </c>
      <c r="Q154" t="str">
        <f t="shared" si="17"/>
        <v>Yes</v>
      </c>
    </row>
    <row r="155" spans="1:17" x14ac:dyDescent="0.25">
      <c r="A155" t="s">
        <v>26</v>
      </c>
      <c r="B155" t="str">
        <f t="shared" si="12"/>
        <v>P-154</v>
      </c>
      <c r="C155" t="s">
        <v>7</v>
      </c>
      <c r="D155">
        <v>2</v>
      </c>
      <c r="E155">
        <v>2</v>
      </c>
      <c r="F155">
        <v>150000</v>
      </c>
      <c r="G155" t="s">
        <v>10</v>
      </c>
      <c r="H155" t="s">
        <v>9</v>
      </c>
      <c r="I155" t="s">
        <v>9</v>
      </c>
      <c r="J155" t="s">
        <v>9</v>
      </c>
      <c r="K155" t="s">
        <v>9</v>
      </c>
      <c r="L155" t="s">
        <v>9</v>
      </c>
      <c r="M155" t="str">
        <f t="shared" si="13"/>
        <v>No</v>
      </c>
      <c r="N155" t="str">
        <f t="shared" si="14"/>
        <v>Yes</v>
      </c>
      <c r="O155" t="str">
        <f t="shared" si="15"/>
        <v>Yes</v>
      </c>
      <c r="P155" t="str">
        <f t="shared" si="16"/>
        <v>Yes</v>
      </c>
      <c r="Q155" t="str">
        <f t="shared" si="17"/>
        <v>Yes</v>
      </c>
    </row>
    <row r="156" spans="1:17" x14ac:dyDescent="0.25">
      <c r="A156" t="s">
        <v>26</v>
      </c>
      <c r="B156" t="str">
        <f t="shared" si="12"/>
        <v>P-155</v>
      </c>
      <c r="C156" t="s">
        <v>7</v>
      </c>
      <c r="D156">
        <v>3</v>
      </c>
      <c r="E156">
        <v>3</v>
      </c>
      <c r="F156">
        <v>165000</v>
      </c>
      <c r="G156" t="s">
        <v>10</v>
      </c>
      <c r="H156" t="s">
        <v>9</v>
      </c>
      <c r="I156" t="s">
        <v>9</v>
      </c>
      <c r="J156" t="s">
        <v>9</v>
      </c>
      <c r="K156" t="s">
        <v>9</v>
      </c>
      <c r="L156" t="s">
        <v>9</v>
      </c>
      <c r="M156" t="str">
        <f t="shared" si="13"/>
        <v>No</v>
      </c>
      <c r="N156" t="str">
        <f t="shared" si="14"/>
        <v>Yes</v>
      </c>
      <c r="O156" t="str">
        <f t="shared" si="15"/>
        <v>Yes</v>
      </c>
      <c r="P156" t="str">
        <f t="shared" si="16"/>
        <v>Yes</v>
      </c>
      <c r="Q156" t="str">
        <f t="shared" si="17"/>
        <v>Yes</v>
      </c>
    </row>
    <row r="157" spans="1:17" x14ac:dyDescent="0.25">
      <c r="A157" t="s">
        <v>26</v>
      </c>
      <c r="B157" t="str">
        <f t="shared" si="12"/>
        <v>P-156</v>
      </c>
      <c r="C157" t="s">
        <v>7</v>
      </c>
      <c r="D157">
        <v>2</v>
      </c>
      <c r="E157">
        <v>2</v>
      </c>
      <c r="F157">
        <v>100000</v>
      </c>
      <c r="G157" t="s">
        <v>10</v>
      </c>
      <c r="H157" t="s">
        <v>9</v>
      </c>
      <c r="I157" t="s">
        <v>9</v>
      </c>
      <c r="J157" t="s">
        <v>9</v>
      </c>
      <c r="K157" t="s">
        <v>9</v>
      </c>
      <c r="L157" t="s">
        <v>9</v>
      </c>
      <c r="M157" t="str">
        <f t="shared" si="13"/>
        <v>No</v>
      </c>
      <c r="N157" t="str">
        <f t="shared" si="14"/>
        <v>Yes</v>
      </c>
      <c r="O157" t="str">
        <f t="shared" si="15"/>
        <v>Yes</v>
      </c>
      <c r="P157" t="str">
        <f t="shared" si="16"/>
        <v>Yes</v>
      </c>
      <c r="Q157" t="str">
        <f t="shared" si="17"/>
        <v>Yes</v>
      </c>
    </row>
    <row r="158" spans="1:17" x14ac:dyDescent="0.25">
      <c r="A158" t="s">
        <v>26</v>
      </c>
      <c r="B158" t="str">
        <f t="shared" si="12"/>
        <v>P-157</v>
      </c>
      <c r="C158" t="s">
        <v>14</v>
      </c>
      <c r="D158">
        <v>3</v>
      </c>
      <c r="E158">
        <v>3</v>
      </c>
      <c r="F158">
        <v>250000</v>
      </c>
      <c r="G158" t="s">
        <v>10</v>
      </c>
      <c r="H158" t="s">
        <v>9</v>
      </c>
      <c r="I158" t="s">
        <v>9</v>
      </c>
      <c r="J158" t="s">
        <v>9</v>
      </c>
      <c r="K158" t="s">
        <v>9</v>
      </c>
      <c r="L158" t="s">
        <v>9</v>
      </c>
      <c r="M158" t="str">
        <f t="shared" si="13"/>
        <v>No</v>
      </c>
      <c r="N158" t="str">
        <f t="shared" si="14"/>
        <v>Yes</v>
      </c>
      <c r="O158" t="str">
        <f t="shared" si="15"/>
        <v>Yes</v>
      </c>
      <c r="P158" t="str">
        <f t="shared" si="16"/>
        <v>Yes</v>
      </c>
      <c r="Q158" t="str">
        <f t="shared" si="17"/>
        <v>Yes</v>
      </c>
    </row>
    <row r="159" spans="1:17" x14ac:dyDescent="0.25">
      <c r="A159" t="s">
        <v>26</v>
      </c>
      <c r="B159" t="str">
        <f t="shared" si="12"/>
        <v>P-158</v>
      </c>
      <c r="C159" t="s">
        <v>14</v>
      </c>
      <c r="D159">
        <v>4</v>
      </c>
      <c r="E159">
        <v>5</v>
      </c>
      <c r="F159">
        <v>120000</v>
      </c>
      <c r="G159" t="s">
        <v>10</v>
      </c>
      <c r="H159" t="s">
        <v>9</v>
      </c>
      <c r="I159" t="s">
        <v>10</v>
      </c>
      <c r="J159" t="s">
        <v>10</v>
      </c>
      <c r="K159" t="s">
        <v>9</v>
      </c>
      <c r="L159" t="s">
        <v>9</v>
      </c>
      <c r="M159" t="str">
        <f t="shared" si="13"/>
        <v>No</v>
      </c>
      <c r="N159" t="str">
        <f t="shared" si="14"/>
        <v>Yes</v>
      </c>
      <c r="O159" t="str">
        <f t="shared" si="15"/>
        <v>No</v>
      </c>
      <c r="P159" t="str">
        <f t="shared" si="16"/>
        <v>No</v>
      </c>
      <c r="Q159" t="str">
        <f t="shared" si="17"/>
        <v>Yes</v>
      </c>
    </row>
    <row r="160" spans="1:17" x14ac:dyDescent="0.25">
      <c r="A160" t="s">
        <v>26</v>
      </c>
      <c r="B160" t="str">
        <f t="shared" si="12"/>
        <v>P-159</v>
      </c>
      <c r="C160" t="s">
        <v>7</v>
      </c>
      <c r="D160">
        <v>2</v>
      </c>
      <c r="E160">
        <v>2</v>
      </c>
      <c r="F160">
        <v>100000</v>
      </c>
      <c r="G160" t="s">
        <v>10</v>
      </c>
      <c r="H160" t="s">
        <v>9</v>
      </c>
      <c r="I160" t="s">
        <v>9</v>
      </c>
      <c r="J160" t="s">
        <v>9</v>
      </c>
      <c r="K160" t="s">
        <v>9</v>
      </c>
      <c r="L160" t="s">
        <v>9</v>
      </c>
      <c r="M160" t="str">
        <f t="shared" si="13"/>
        <v>No</v>
      </c>
      <c r="N160" t="str">
        <f t="shared" si="14"/>
        <v>Yes</v>
      </c>
      <c r="O160" t="str">
        <f t="shared" si="15"/>
        <v>Yes</v>
      </c>
      <c r="P160" t="str">
        <f t="shared" si="16"/>
        <v>Yes</v>
      </c>
      <c r="Q160" t="str">
        <f t="shared" si="17"/>
        <v>Yes</v>
      </c>
    </row>
    <row r="161" spans="1:17" x14ac:dyDescent="0.25">
      <c r="A161" t="s">
        <v>26</v>
      </c>
      <c r="B161" t="str">
        <f t="shared" si="12"/>
        <v>P-160</v>
      </c>
      <c r="C161" t="s">
        <v>24</v>
      </c>
      <c r="D161">
        <v>0</v>
      </c>
      <c r="E161">
        <v>1</v>
      </c>
      <c r="F161">
        <v>100000</v>
      </c>
      <c r="G161" t="s">
        <v>9</v>
      </c>
      <c r="H161" t="s">
        <v>9</v>
      </c>
      <c r="I161" t="s">
        <v>9</v>
      </c>
      <c r="J161" t="s">
        <v>9</v>
      </c>
      <c r="K161" t="s">
        <v>9</v>
      </c>
      <c r="L161" t="s">
        <v>9</v>
      </c>
      <c r="M161" t="str">
        <f t="shared" si="13"/>
        <v>Yes</v>
      </c>
      <c r="N161" t="str">
        <f t="shared" si="14"/>
        <v>Yes</v>
      </c>
      <c r="O161" t="str">
        <f t="shared" si="15"/>
        <v>Yes</v>
      </c>
      <c r="P161" t="str">
        <f t="shared" si="16"/>
        <v>Yes</v>
      </c>
      <c r="Q161" t="str">
        <f t="shared" si="17"/>
        <v>Yes</v>
      </c>
    </row>
    <row r="162" spans="1:17" x14ac:dyDescent="0.25">
      <c r="A162" t="s">
        <v>27</v>
      </c>
      <c r="B162" t="str">
        <f t="shared" si="12"/>
        <v>P-161</v>
      </c>
      <c r="C162" t="s">
        <v>7</v>
      </c>
      <c r="D162">
        <v>6</v>
      </c>
      <c r="E162">
        <v>7</v>
      </c>
      <c r="F162">
        <v>210000</v>
      </c>
      <c r="G162" t="s">
        <v>10</v>
      </c>
      <c r="H162" t="s">
        <v>9</v>
      </c>
      <c r="I162" t="s">
        <v>10</v>
      </c>
      <c r="J162" t="s">
        <v>9</v>
      </c>
      <c r="K162" t="s">
        <v>9</v>
      </c>
      <c r="L162" t="s">
        <v>9</v>
      </c>
      <c r="M162" t="str">
        <f t="shared" si="13"/>
        <v>No</v>
      </c>
      <c r="N162" t="str">
        <f t="shared" si="14"/>
        <v>Yes</v>
      </c>
      <c r="O162" t="str">
        <f t="shared" si="15"/>
        <v>No</v>
      </c>
      <c r="P162" t="str">
        <f t="shared" si="16"/>
        <v>Yes</v>
      </c>
      <c r="Q162" t="str">
        <f t="shared" si="17"/>
        <v>Yes</v>
      </c>
    </row>
    <row r="163" spans="1:17" x14ac:dyDescent="0.25">
      <c r="A163" t="s">
        <v>27</v>
      </c>
      <c r="B163" t="str">
        <f t="shared" si="12"/>
        <v>P-162</v>
      </c>
      <c r="C163" t="s">
        <v>7</v>
      </c>
      <c r="D163">
        <v>3</v>
      </c>
      <c r="E163">
        <v>2</v>
      </c>
      <c r="F163">
        <v>90000</v>
      </c>
      <c r="G163" t="s">
        <v>10</v>
      </c>
      <c r="H163" t="s">
        <v>9</v>
      </c>
      <c r="I163" t="s">
        <v>10</v>
      </c>
      <c r="J163" t="s">
        <v>10</v>
      </c>
      <c r="K163" t="s">
        <v>9</v>
      </c>
      <c r="L163" t="s">
        <v>9</v>
      </c>
      <c r="M163" t="str">
        <f t="shared" si="13"/>
        <v>No</v>
      </c>
      <c r="N163" t="str">
        <f t="shared" si="14"/>
        <v>Yes</v>
      </c>
      <c r="O163" t="str">
        <f t="shared" si="15"/>
        <v>No</v>
      </c>
      <c r="P163" t="str">
        <f t="shared" si="16"/>
        <v>No</v>
      </c>
      <c r="Q163" t="str">
        <f t="shared" si="17"/>
        <v>Yes</v>
      </c>
    </row>
    <row r="164" spans="1:17" x14ac:dyDescent="0.25">
      <c r="A164" t="s">
        <v>27</v>
      </c>
      <c r="B164" t="str">
        <f t="shared" si="12"/>
        <v>P-163</v>
      </c>
      <c r="C164" t="s">
        <v>7</v>
      </c>
      <c r="D164">
        <v>1</v>
      </c>
      <c r="E164">
        <v>1</v>
      </c>
      <c r="F164">
        <v>140000</v>
      </c>
      <c r="G164" t="s">
        <v>9</v>
      </c>
      <c r="H164" t="s">
        <v>9</v>
      </c>
      <c r="I164" t="s">
        <v>9</v>
      </c>
      <c r="J164" t="s">
        <v>9</v>
      </c>
      <c r="K164" t="s">
        <v>9</v>
      </c>
      <c r="L164" t="s">
        <v>9</v>
      </c>
      <c r="M164" t="str">
        <f t="shared" si="13"/>
        <v>Yes</v>
      </c>
      <c r="N164" t="str">
        <f t="shared" si="14"/>
        <v>Yes</v>
      </c>
      <c r="O164" t="str">
        <f t="shared" si="15"/>
        <v>Yes</v>
      </c>
      <c r="P164" t="str">
        <f t="shared" si="16"/>
        <v>Yes</v>
      </c>
      <c r="Q164" t="str">
        <f t="shared" si="17"/>
        <v>Yes</v>
      </c>
    </row>
    <row r="165" spans="1:17" x14ac:dyDescent="0.25">
      <c r="A165" t="s">
        <v>27</v>
      </c>
      <c r="B165" t="str">
        <f t="shared" si="12"/>
        <v>P-164</v>
      </c>
      <c r="C165" t="s">
        <v>24</v>
      </c>
      <c r="D165">
        <v>0</v>
      </c>
      <c r="E165">
        <v>1</v>
      </c>
      <c r="F165">
        <v>70000</v>
      </c>
      <c r="G165" t="s">
        <v>10</v>
      </c>
      <c r="H165" t="s">
        <v>9</v>
      </c>
      <c r="I165" t="s">
        <v>10</v>
      </c>
      <c r="J165" t="s">
        <v>9</v>
      </c>
      <c r="K165" t="s">
        <v>9</v>
      </c>
      <c r="L165" t="s">
        <v>9</v>
      </c>
      <c r="M165" t="str">
        <f t="shared" si="13"/>
        <v>No</v>
      </c>
      <c r="N165" t="str">
        <f t="shared" si="14"/>
        <v>Yes</v>
      </c>
      <c r="O165" t="str">
        <f t="shared" si="15"/>
        <v>No</v>
      </c>
      <c r="P165" t="str">
        <f t="shared" si="16"/>
        <v>Yes</v>
      </c>
      <c r="Q165" t="str">
        <f t="shared" si="17"/>
        <v>Yes</v>
      </c>
    </row>
    <row r="166" spans="1:17" x14ac:dyDescent="0.25">
      <c r="A166" t="s">
        <v>27</v>
      </c>
      <c r="B166" t="str">
        <f t="shared" si="12"/>
        <v>P-165</v>
      </c>
      <c r="C166" t="s">
        <v>7</v>
      </c>
      <c r="D166">
        <v>2</v>
      </c>
      <c r="E166">
        <v>2</v>
      </c>
      <c r="F166">
        <v>140000</v>
      </c>
      <c r="G166" t="s">
        <v>10</v>
      </c>
      <c r="H166" t="s">
        <v>9</v>
      </c>
      <c r="I166" t="s">
        <v>10</v>
      </c>
      <c r="J166" t="s">
        <v>9</v>
      </c>
      <c r="K166" t="s">
        <v>9</v>
      </c>
      <c r="L166" t="s">
        <v>9</v>
      </c>
      <c r="M166" t="str">
        <f t="shared" si="13"/>
        <v>No</v>
      </c>
      <c r="N166" t="str">
        <f t="shared" si="14"/>
        <v>Yes</v>
      </c>
      <c r="O166" t="str">
        <f t="shared" si="15"/>
        <v>No</v>
      </c>
      <c r="P166" t="str">
        <f t="shared" si="16"/>
        <v>Yes</v>
      </c>
      <c r="Q166" t="str">
        <f t="shared" si="17"/>
        <v>Yes</v>
      </c>
    </row>
    <row r="167" spans="1:17" x14ac:dyDescent="0.25">
      <c r="A167" t="s">
        <v>27</v>
      </c>
      <c r="B167" t="str">
        <f t="shared" si="12"/>
        <v>P-166</v>
      </c>
      <c r="C167" t="s">
        <v>7</v>
      </c>
      <c r="D167">
        <v>2</v>
      </c>
      <c r="E167">
        <v>2</v>
      </c>
      <c r="F167">
        <v>168000</v>
      </c>
      <c r="G167" t="s">
        <v>9</v>
      </c>
      <c r="H167" t="s">
        <v>9</v>
      </c>
      <c r="I167" t="s">
        <v>9</v>
      </c>
      <c r="J167" t="s">
        <v>9</v>
      </c>
      <c r="K167" t="s">
        <v>9</v>
      </c>
      <c r="L167" t="s">
        <v>9</v>
      </c>
      <c r="M167" t="str">
        <f t="shared" si="13"/>
        <v>Yes</v>
      </c>
      <c r="N167" t="str">
        <f t="shared" si="14"/>
        <v>Yes</v>
      </c>
      <c r="O167" t="str">
        <f t="shared" si="15"/>
        <v>Yes</v>
      </c>
      <c r="P167" t="str">
        <f t="shared" si="16"/>
        <v>Yes</v>
      </c>
      <c r="Q167" t="str">
        <f t="shared" si="17"/>
        <v>Yes</v>
      </c>
    </row>
    <row r="168" spans="1:17" x14ac:dyDescent="0.25">
      <c r="A168" t="s">
        <v>27</v>
      </c>
      <c r="B168" t="str">
        <f t="shared" si="12"/>
        <v>P-167</v>
      </c>
      <c r="C168" t="s">
        <v>7</v>
      </c>
      <c r="D168">
        <v>3</v>
      </c>
      <c r="E168">
        <v>4</v>
      </c>
      <c r="F168">
        <v>90000</v>
      </c>
      <c r="G168" t="s">
        <v>10</v>
      </c>
      <c r="H168" t="s">
        <v>9</v>
      </c>
      <c r="I168" t="s">
        <v>10</v>
      </c>
      <c r="J168" t="s">
        <v>9</v>
      </c>
      <c r="K168" t="s">
        <v>9</v>
      </c>
      <c r="L168" t="s">
        <v>9</v>
      </c>
      <c r="M168" t="str">
        <f t="shared" si="13"/>
        <v>No</v>
      </c>
      <c r="N168" t="str">
        <f t="shared" si="14"/>
        <v>Yes</v>
      </c>
      <c r="O168" t="str">
        <f t="shared" si="15"/>
        <v>No</v>
      </c>
      <c r="P168" t="str">
        <f t="shared" si="16"/>
        <v>Yes</v>
      </c>
      <c r="Q168" t="str">
        <f t="shared" si="17"/>
        <v>Yes</v>
      </c>
    </row>
    <row r="169" spans="1:17" x14ac:dyDescent="0.25">
      <c r="A169" t="s">
        <v>27</v>
      </c>
      <c r="B169" t="str">
        <f t="shared" si="12"/>
        <v>P-168</v>
      </c>
      <c r="C169" t="s">
        <v>7</v>
      </c>
      <c r="D169">
        <v>3</v>
      </c>
      <c r="E169">
        <v>1</v>
      </c>
      <c r="F169">
        <v>70000</v>
      </c>
      <c r="G169" t="s">
        <v>10</v>
      </c>
      <c r="H169" t="s">
        <v>9</v>
      </c>
      <c r="I169" t="s">
        <v>10</v>
      </c>
      <c r="J169" t="s">
        <v>10</v>
      </c>
      <c r="K169" t="s">
        <v>9</v>
      </c>
      <c r="L169" t="s">
        <v>9</v>
      </c>
      <c r="M169" t="str">
        <f t="shared" si="13"/>
        <v>No</v>
      </c>
      <c r="N169" t="str">
        <f t="shared" si="14"/>
        <v>Yes</v>
      </c>
      <c r="O169" t="str">
        <f t="shared" si="15"/>
        <v>No</v>
      </c>
      <c r="P169" t="str">
        <f t="shared" si="16"/>
        <v>No</v>
      </c>
      <c r="Q169" t="str">
        <f t="shared" si="17"/>
        <v>Yes</v>
      </c>
    </row>
    <row r="170" spans="1:17" x14ac:dyDescent="0.25">
      <c r="A170" t="s">
        <v>27</v>
      </c>
      <c r="B170" t="str">
        <f t="shared" si="12"/>
        <v>P-169</v>
      </c>
      <c r="C170" t="s">
        <v>7</v>
      </c>
      <c r="D170">
        <v>3</v>
      </c>
      <c r="E170">
        <v>2</v>
      </c>
      <c r="F170">
        <v>250000</v>
      </c>
      <c r="G170" t="s">
        <v>9</v>
      </c>
      <c r="H170" t="s">
        <v>9</v>
      </c>
      <c r="I170" t="s">
        <v>9</v>
      </c>
      <c r="J170" t="s">
        <v>9</v>
      </c>
      <c r="K170" t="s">
        <v>9</v>
      </c>
      <c r="L170" t="s">
        <v>9</v>
      </c>
      <c r="M170" t="str">
        <f t="shared" si="13"/>
        <v>Yes</v>
      </c>
      <c r="N170" t="str">
        <f t="shared" si="14"/>
        <v>Yes</v>
      </c>
      <c r="O170" t="str">
        <f t="shared" si="15"/>
        <v>Yes</v>
      </c>
      <c r="P170" t="str">
        <f t="shared" si="16"/>
        <v>Yes</v>
      </c>
      <c r="Q170" t="str">
        <f t="shared" si="17"/>
        <v>Yes</v>
      </c>
    </row>
    <row r="171" spans="1:17" x14ac:dyDescent="0.25">
      <c r="A171" t="s">
        <v>27</v>
      </c>
      <c r="B171" t="str">
        <f t="shared" si="12"/>
        <v>P-170</v>
      </c>
      <c r="C171" t="s">
        <v>7</v>
      </c>
      <c r="D171">
        <v>1</v>
      </c>
      <c r="E171">
        <v>1</v>
      </c>
      <c r="F171">
        <v>100000</v>
      </c>
      <c r="G171" t="s">
        <v>9</v>
      </c>
      <c r="H171" t="s">
        <v>9</v>
      </c>
      <c r="I171" t="s">
        <v>9</v>
      </c>
      <c r="J171" t="s">
        <v>9</v>
      </c>
      <c r="K171" t="s">
        <v>9</v>
      </c>
      <c r="L171" t="s">
        <v>9</v>
      </c>
      <c r="M171" t="str">
        <f t="shared" si="13"/>
        <v>Yes</v>
      </c>
      <c r="N171" t="str">
        <f t="shared" si="14"/>
        <v>Yes</v>
      </c>
      <c r="O171" t="str">
        <f t="shared" si="15"/>
        <v>Yes</v>
      </c>
      <c r="P171" t="str">
        <f t="shared" si="16"/>
        <v>Yes</v>
      </c>
      <c r="Q171" t="str">
        <f t="shared" si="17"/>
        <v>Yes</v>
      </c>
    </row>
    <row r="172" spans="1:17" x14ac:dyDescent="0.25">
      <c r="A172" t="s">
        <v>27</v>
      </c>
      <c r="B172" t="str">
        <f t="shared" si="12"/>
        <v>P-171</v>
      </c>
      <c r="C172" t="s">
        <v>7</v>
      </c>
      <c r="D172">
        <v>2</v>
      </c>
      <c r="E172">
        <v>2</v>
      </c>
      <c r="F172">
        <v>100000</v>
      </c>
      <c r="G172" t="s">
        <v>9</v>
      </c>
      <c r="H172" t="s">
        <v>9</v>
      </c>
      <c r="I172" t="s">
        <v>9</v>
      </c>
      <c r="J172" t="s">
        <v>9</v>
      </c>
      <c r="K172" t="s">
        <v>9</v>
      </c>
      <c r="L172" t="s">
        <v>9</v>
      </c>
      <c r="M172" t="str">
        <f t="shared" si="13"/>
        <v>Yes</v>
      </c>
      <c r="N172" t="str">
        <f t="shared" si="14"/>
        <v>Yes</v>
      </c>
      <c r="O172" t="str">
        <f t="shared" si="15"/>
        <v>Yes</v>
      </c>
      <c r="P172" t="str">
        <f t="shared" si="16"/>
        <v>Yes</v>
      </c>
      <c r="Q172" t="str">
        <f t="shared" si="17"/>
        <v>Yes</v>
      </c>
    </row>
    <row r="173" spans="1:17" x14ac:dyDescent="0.25">
      <c r="A173" t="s">
        <v>27</v>
      </c>
      <c r="B173" t="str">
        <f t="shared" si="12"/>
        <v>P-172</v>
      </c>
      <c r="C173" t="s">
        <v>7</v>
      </c>
      <c r="D173">
        <v>3</v>
      </c>
      <c r="E173">
        <v>3</v>
      </c>
      <c r="F173">
        <v>140000</v>
      </c>
      <c r="G173" t="s">
        <v>10</v>
      </c>
      <c r="H173" t="s">
        <v>9</v>
      </c>
      <c r="I173" t="s">
        <v>9</v>
      </c>
      <c r="J173" t="s">
        <v>9</v>
      </c>
      <c r="K173" t="s">
        <v>9</v>
      </c>
      <c r="L173" t="s">
        <v>9</v>
      </c>
      <c r="M173" t="str">
        <f t="shared" si="13"/>
        <v>No</v>
      </c>
      <c r="N173" t="str">
        <f t="shared" si="14"/>
        <v>Yes</v>
      </c>
      <c r="O173" t="str">
        <f t="shared" si="15"/>
        <v>Yes</v>
      </c>
      <c r="P173" t="str">
        <f t="shared" si="16"/>
        <v>Yes</v>
      </c>
      <c r="Q173" t="str">
        <f t="shared" si="17"/>
        <v>Yes</v>
      </c>
    </row>
    <row r="174" spans="1:17" x14ac:dyDescent="0.25">
      <c r="A174" t="s">
        <v>27</v>
      </c>
      <c r="B174" t="str">
        <f t="shared" si="12"/>
        <v>P-173</v>
      </c>
      <c r="C174" t="s">
        <v>7</v>
      </c>
      <c r="D174">
        <v>4</v>
      </c>
      <c r="E174">
        <v>4</v>
      </c>
      <c r="F174">
        <v>160000</v>
      </c>
      <c r="G174" t="s">
        <v>9</v>
      </c>
      <c r="H174" t="s">
        <v>9</v>
      </c>
      <c r="I174" t="s">
        <v>9</v>
      </c>
      <c r="J174" t="s">
        <v>9</v>
      </c>
      <c r="K174" t="s">
        <v>9</v>
      </c>
      <c r="L174" t="s">
        <v>9</v>
      </c>
      <c r="M174" t="str">
        <f t="shared" si="13"/>
        <v>Yes</v>
      </c>
      <c r="N174" t="str">
        <f t="shared" si="14"/>
        <v>Yes</v>
      </c>
      <c r="O174" t="str">
        <f t="shared" si="15"/>
        <v>Yes</v>
      </c>
      <c r="P174" t="str">
        <f t="shared" si="16"/>
        <v>Yes</v>
      </c>
      <c r="Q174" t="str">
        <f t="shared" si="17"/>
        <v>Yes</v>
      </c>
    </row>
    <row r="175" spans="1:17" x14ac:dyDescent="0.25">
      <c r="A175" t="s">
        <v>27</v>
      </c>
      <c r="B175" t="str">
        <f t="shared" si="12"/>
        <v>P-174</v>
      </c>
      <c r="C175" t="s">
        <v>7</v>
      </c>
      <c r="D175">
        <v>2</v>
      </c>
      <c r="E175">
        <v>2</v>
      </c>
      <c r="F175">
        <v>140000</v>
      </c>
      <c r="G175" t="s">
        <v>10</v>
      </c>
      <c r="H175" t="s">
        <v>9</v>
      </c>
      <c r="I175" t="s">
        <v>9</v>
      </c>
      <c r="J175" t="s">
        <v>9</v>
      </c>
      <c r="K175" t="s">
        <v>9</v>
      </c>
      <c r="L175" t="s">
        <v>9</v>
      </c>
      <c r="M175" t="str">
        <f t="shared" si="13"/>
        <v>No</v>
      </c>
      <c r="N175" t="str">
        <f t="shared" si="14"/>
        <v>Yes</v>
      </c>
      <c r="O175" t="str">
        <f t="shared" si="15"/>
        <v>Yes</v>
      </c>
      <c r="P175" t="str">
        <f t="shared" si="16"/>
        <v>Yes</v>
      </c>
      <c r="Q175" t="str">
        <f t="shared" si="17"/>
        <v>Yes</v>
      </c>
    </row>
    <row r="176" spans="1:17" x14ac:dyDescent="0.25">
      <c r="A176" t="s">
        <v>27</v>
      </c>
      <c r="B176" t="str">
        <f t="shared" si="12"/>
        <v>P-175</v>
      </c>
      <c r="C176" t="s">
        <v>7</v>
      </c>
      <c r="D176">
        <v>3</v>
      </c>
      <c r="E176">
        <v>4</v>
      </c>
      <c r="F176">
        <v>90000</v>
      </c>
      <c r="G176" t="s">
        <v>10</v>
      </c>
      <c r="H176" t="s">
        <v>9</v>
      </c>
      <c r="I176" t="s">
        <v>10</v>
      </c>
      <c r="J176" t="s">
        <v>9</v>
      </c>
      <c r="K176" t="s">
        <v>9</v>
      </c>
      <c r="L176" t="s">
        <v>9</v>
      </c>
      <c r="M176" t="str">
        <f t="shared" si="13"/>
        <v>No</v>
      </c>
      <c r="N176" t="str">
        <f t="shared" si="14"/>
        <v>Yes</v>
      </c>
      <c r="O176" t="str">
        <f t="shared" si="15"/>
        <v>No</v>
      </c>
      <c r="P176" t="str">
        <f t="shared" si="16"/>
        <v>Yes</v>
      </c>
      <c r="Q176" t="str">
        <f t="shared" si="17"/>
        <v>Yes</v>
      </c>
    </row>
    <row r="177" spans="1:17" x14ac:dyDescent="0.25">
      <c r="A177" t="s">
        <v>27</v>
      </c>
      <c r="B177" t="str">
        <f t="shared" si="12"/>
        <v>P-176</v>
      </c>
      <c r="C177" t="s">
        <v>7</v>
      </c>
      <c r="D177">
        <v>2</v>
      </c>
      <c r="E177">
        <v>2</v>
      </c>
      <c r="F177">
        <v>180000</v>
      </c>
      <c r="G177" t="s">
        <v>9</v>
      </c>
      <c r="H177" t="s">
        <v>9</v>
      </c>
      <c r="I177" t="s">
        <v>9</v>
      </c>
      <c r="J177" t="s">
        <v>9</v>
      </c>
      <c r="K177" t="s">
        <v>9</v>
      </c>
      <c r="L177" t="s">
        <v>9</v>
      </c>
      <c r="M177" t="str">
        <f t="shared" si="13"/>
        <v>Yes</v>
      </c>
      <c r="N177" t="str">
        <f t="shared" si="14"/>
        <v>Yes</v>
      </c>
      <c r="O177" t="str">
        <f t="shared" si="15"/>
        <v>Yes</v>
      </c>
      <c r="P177" t="str">
        <f t="shared" si="16"/>
        <v>Yes</v>
      </c>
      <c r="Q177" t="str">
        <f t="shared" si="17"/>
        <v>Yes</v>
      </c>
    </row>
    <row r="178" spans="1:17" x14ac:dyDescent="0.25">
      <c r="A178" t="s">
        <v>27</v>
      </c>
      <c r="B178" t="str">
        <f t="shared" si="12"/>
        <v>P-177</v>
      </c>
      <c r="C178" t="s">
        <v>7</v>
      </c>
      <c r="D178">
        <v>3</v>
      </c>
      <c r="E178">
        <v>4</v>
      </c>
      <c r="F178">
        <v>130000</v>
      </c>
      <c r="G178" t="s">
        <v>10</v>
      </c>
      <c r="H178" t="s">
        <v>9</v>
      </c>
      <c r="I178" t="s">
        <v>9</v>
      </c>
      <c r="J178" t="s">
        <v>9</v>
      </c>
      <c r="K178" t="s">
        <v>9</v>
      </c>
      <c r="L178" t="s">
        <v>9</v>
      </c>
      <c r="M178" t="str">
        <f t="shared" si="13"/>
        <v>No</v>
      </c>
      <c r="N178" t="str">
        <f t="shared" si="14"/>
        <v>Yes</v>
      </c>
      <c r="O178" t="str">
        <f t="shared" si="15"/>
        <v>Yes</v>
      </c>
      <c r="P178" t="str">
        <f t="shared" si="16"/>
        <v>Yes</v>
      </c>
      <c r="Q178" t="str">
        <f t="shared" si="17"/>
        <v>Yes</v>
      </c>
    </row>
    <row r="179" spans="1:17" x14ac:dyDescent="0.25">
      <c r="A179" t="s">
        <v>55</v>
      </c>
      <c r="B179" t="str">
        <f t="shared" si="12"/>
        <v>P-178</v>
      </c>
      <c r="C179" t="s">
        <v>7</v>
      </c>
      <c r="D179">
        <v>3</v>
      </c>
      <c r="E179">
        <v>2</v>
      </c>
      <c r="F179">
        <v>105000</v>
      </c>
      <c r="G179" t="s">
        <v>10</v>
      </c>
      <c r="H179" t="s">
        <v>9</v>
      </c>
      <c r="I179" t="s">
        <v>9</v>
      </c>
      <c r="J179" t="s">
        <v>9</v>
      </c>
      <c r="K179" t="s">
        <v>9</v>
      </c>
      <c r="L179" t="s">
        <v>9</v>
      </c>
      <c r="M179" t="str">
        <f t="shared" si="13"/>
        <v>No</v>
      </c>
      <c r="N179" t="str">
        <f t="shared" si="14"/>
        <v>Yes</v>
      </c>
      <c r="O179" t="str">
        <f t="shared" si="15"/>
        <v>Yes</v>
      </c>
      <c r="P179" t="str">
        <f t="shared" si="16"/>
        <v>Yes</v>
      </c>
      <c r="Q179" t="str">
        <f t="shared" si="17"/>
        <v>Yes</v>
      </c>
    </row>
    <row r="180" spans="1:17" x14ac:dyDescent="0.25">
      <c r="A180" t="s">
        <v>55</v>
      </c>
      <c r="B180" t="str">
        <f t="shared" si="12"/>
        <v>P-179</v>
      </c>
      <c r="C180" t="s">
        <v>7</v>
      </c>
      <c r="D180">
        <v>3</v>
      </c>
      <c r="E180">
        <v>2</v>
      </c>
      <c r="F180">
        <v>85000</v>
      </c>
      <c r="G180" t="s">
        <v>10</v>
      </c>
      <c r="H180" t="s">
        <v>9</v>
      </c>
      <c r="I180" t="s">
        <v>9</v>
      </c>
      <c r="J180" t="s">
        <v>9</v>
      </c>
      <c r="K180" t="s">
        <v>9</v>
      </c>
      <c r="L180" t="s">
        <v>9</v>
      </c>
      <c r="M180" t="str">
        <f t="shared" si="13"/>
        <v>No</v>
      </c>
      <c r="N180" t="str">
        <f t="shared" si="14"/>
        <v>Yes</v>
      </c>
      <c r="O180" t="str">
        <f t="shared" si="15"/>
        <v>Yes</v>
      </c>
      <c r="P180" t="str">
        <f t="shared" si="16"/>
        <v>Yes</v>
      </c>
      <c r="Q180" t="str">
        <f t="shared" si="17"/>
        <v>Yes</v>
      </c>
    </row>
    <row r="181" spans="1:17" x14ac:dyDescent="0.25">
      <c r="A181" t="s">
        <v>55</v>
      </c>
      <c r="B181" t="str">
        <f t="shared" si="12"/>
        <v>P-180</v>
      </c>
      <c r="C181" t="s">
        <v>7</v>
      </c>
      <c r="D181">
        <v>2</v>
      </c>
      <c r="E181">
        <v>2</v>
      </c>
      <c r="F181">
        <v>90000</v>
      </c>
      <c r="G181" t="s">
        <v>10</v>
      </c>
      <c r="H181" t="s">
        <v>9</v>
      </c>
      <c r="I181" t="s">
        <v>9</v>
      </c>
      <c r="J181" t="s">
        <v>9</v>
      </c>
      <c r="K181" t="s">
        <v>9</v>
      </c>
      <c r="L181" t="s">
        <v>9</v>
      </c>
      <c r="M181" t="str">
        <f t="shared" si="13"/>
        <v>No</v>
      </c>
      <c r="N181" t="str">
        <f t="shared" si="14"/>
        <v>Yes</v>
      </c>
      <c r="O181" t="str">
        <f t="shared" si="15"/>
        <v>Yes</v>
      </c>
      <c r="P181" t="str">
        <f t="shared" si="16"/>
        <v>Yes</v>
      </c>
      <c r="Q181" t="str">
        <f t="shared" si="17"/>
        <v>Yes</v>
      </c>
    </row>
    <row r="182" spans="1:17" x14ac:dyDescent="0.25">
      <c r="A182" t="s">
        <v>55</v>
      </c>
      <c r="B182" t="str">
        <f t="shared" si="12"/>
        <v>P-181</v>
      </c>
      <c r="C182" t="s">
        <v>7</v>
      </c>
      <c r="D182">
        <v>1</v>
      </c>
      <c r="E182">
        <v>1</v>
      </c>
      <c r="F182">
        <v>75000</v>
      </c>
      <c r="G182" t="s">
        <v>10</v>
      </c>
      <c r="H182" t="s">
        <v>9</v>
      </c>
      <c r="I182" t="s">
        <v>9</v>
      </c>
      <c r="J182" t="s">
        <v>9</v>
      </c>
      <c r="K182" t="s">
        <v>9</v>
      </c>
      <c r="L182" t="s">
        <v>9</v>
      </c>
      <c r="M182" t="str">
        <f t="shared" si="13"/>
        <v>No</v>
      </c>
      <c r="N182" t="str">
        <f t="shared" si="14"/>
        <v>Yes</v>
      </c>
      <c r="O182" t="str">
        <f t="shared" si="15"/>
        <v>Yes</v>
      </c>
      <c r="P182" t="str">
        <f t="shared" si="16"/>
        <v>Yes</v>
      </c>
      <c r="Q182" t="str">
        <f t="shared" si="17"/>
        <v>Yes</v>
      </c>
    </row>
    <row r="183" spans="1:17" x14ac:dyDescent="0.25">
      <c r="A183" t="s">
        <v>55</v>
      </c>
      <c r="B183" t="str">
        <f t="shared" si="12"/>
        <v>P-182</v>
      </c>
      <c r="C183" t="s">
        <v>7</v>
      </c>
      <c r="D183">
        <v>2</v>
      </c>
      <c r="E183">
        <v>2</v>
      </c>
      <c r="F183">
        <v>90000</v>
      </c>
      <c r="G183" t="s">
        <v>9</v>
      </c>
      <c r="H183" t="s">
        <v>9</v>
      </c>
      <c r="I183" t="s">
        <v>9</v>
      </c>
      <c r="J183" t="s">
        <v>9</v>
      </c>
      <c r="K183" t="s">
        <v>9</v>
      </c>
      <c r="L183" t="s">
        <v>9</v>
      </c>
      <c r="M183" t="str">
        <f t="shared" si="13"/>
        <v>Yes</v>
      </c>
      <c r="N183" t="str">
        <f t="shared" si="14"/>
        <v>Yes</v>
      </c>
      <c r="O183" t="str">
        <f t="shared" si="15"/>
        <v>Yes</v>
      </c>
      <c r="P183" t="str">
        <f t="shared" si="16"/>
        <v>Yes</v>
      </c>
      <c r="Q183" t="str">
        <f t="shared" si="17"/>
        <v>Yes</v>
      </c>
    </row>
    <row r="184" spans="1:17" x14ac:dyDescent="0.25">
      <c r="A184" t="s">
        <v>55</v>
      </c>
      <c r="B184" t="str">
        <f t="shared" si="12"/>
        <v>P-183</v>
      </c>
      <c r="C184" t="s">
        <v>7</v>
      </c>
      <c r="D184">
        <v>2</v>
      </c>
      <c r="E184">
        <v>2</v>
      </c>
      <c r="F184">
        <v>70000</v>
      </c>
      <c r="G184" t="s">
        <v>10</v>
      </c>
      <c r="H184" t="s">
        <v>9</v>
      </c>
      <c r="I184" t="s">
        <v>10</v>
      </c>
      <c r="J184" t="s">
        <v>9</v>
      </c>
      <c r="K184" t="s">
        <v>9</v>
      </c>
      <c r="L184" t="s">
        <v>9</v>
      </c>
      <c r="M184" t="str">
        <f t="shared" si="13"/>
        <v>No</v>
      </c>
      <c r="N184" t="str">
        <f t="shared" si="14"/>
        <v>Yes</v>
      </c>
      <c r="O184" t="str">
        <f t="shared" si="15"/>
        <v>No</v>
      </c>
      <c r="P184" t="str">
        <f t="shared" si="16"/>
        <v>Yes</v>
      </c>
      <c r="Q184" t="str">
        <f t="shared" si="17"/>
        <v>Yes</v>
      </c>
    </row>
    <row r="185" spans="1:17" x14ac:dyDescent="0.25">
      <c r="A185" t="s">
        <v>55</v>
      </c>
      <c r="B185" t="str">
        <f t="shared" si="12"/>
        <v>P-184</v>
      </c>
      <c r="C185" t="s">
        <v>7</v>
      </c>
      <c r="D185">
        <v>2</v>
      </c>
      <c r="E185">
        <v>2</v>
      </c>
      <c r="F185">
        <v>90000</v>
      </c>
      <c r="G185" t="s">
        <v>10</v>
      </c>
      <c r="H185" t="s">
        <v>9</v>
      </c>
      <c r="I185" t="s">
        <v>9</v>
      </c>
      <c r="J185" t="s">
        <v>9</v>
      </c>
      <c r="K185" t="s">
        <v>9</v>
      </c>
      <c r="L185" t="s">
        <v>9</v>
      </c>
      <c r="M185" t="str">
        <f t="shared" si="13"/>
        <v>No</v>
      </c>
      <c r="N185" t="str">
        <f t="shared" si="14"/>
        <v>Yes</v>
      </c>
      <c r="O185" t="str">
        <f t="shared" si="15"/>
        <v>Yes</v>
      </c>
      <c r="P185" t="str">
        <f t="shared" si="16"/>
        <v>Yes</v>
      </c>
      <c r="Q185" t="str">
        <f t="shared" si="17"/>
        <v>Yes</v>
      </c>
    </row>
    <row r="186" spans="1:17" x14ac:dyDescent="0.25">
      <c r="A186" t="s">
        <v>55</v>
      </c>
      <c r="B186" t="str">
        <f t="shared" si="12"/>
        <v>P-185</v>
      </c>
      <c r="C186" t="s">
        <v>7</v>
      </c>
      <c r="D186">
        <v>3</v>
      </c>
      <c r="E186">
        <v>2</v>
      </c>
      <c r="F186">
        <v>100000</v>
      </c>
      <c r="G186" t="s">
        <v>10</v>
      </c>
      <c r="H186" t="s">
        <v>9</v>
      </c>
      <c r="I186" t="s">
        <v>10</v>
      </c>
      <c r="J186" t="s">
        <v>9</v>
      </c>
      <c r="K186" t="s">
        <v>9</v>
      </c>
      <c r="L186" t="s">
        <v>9</v>
      </c>
      <c r="M186" t="str">
        <f t="shared" si="13"/>
        <v>No</v>
      </c>
      <c r="N186" t="str">
        <f t="shared" si="14"/>
        <v>Yes</v>
      </c>
      <c r="O186" t="str">
        <f t="shared" si="15"/>
        <v>No</v>
      </c>
      <c r="P186" t="str">
        <f t="shared" si="16"/>
        <v>Yes</v>
      </c>
      <c r="Q186" t="str">
        <f t="shared" si="17"/>
        <v>Yes</v>
      </c>
    </row>
    <row r="187" spans="1:17" x14ac:dyDescent="0.25">
      <c r="A187" t="s">
        <v>29</v>
      </c>
      <c r="B187" t="str">
        <f t="shared" si="12"/>
        <v>P-186</v>
      </c>
      <c r="C187" t="s">
        <v>7</v>
      </c>
      <c r="D187">
        <v>1</v>
      </c>
      <c r="E187">
        <v>1</v>
      </c>
      <c r="F187">
        <v>47000</v>
      </c>
      <c r="G187" t="s">
        <v>10</v>
      </c>
      <c r="H187" t="s">
        <v>9</v>
      </c>
      <c r="I187" t="s">
        <v>10</v>
      </c>
      <c r="J187" t="s">
        <v>10</v>
      </c>
      <c r="K187" t="s">
        <v>9</v>
      </c>
      <c r="L187" t="s">
        <v>9</v>
      </c>
      <c r="M187" t="str">
        <f t="shared" si="13"/>
        <v>No</v>
      </c>
      <c r="N187" t="str">
        <f t="shared" si="14"/>
        <v>Yes</v>
      </c>
      <c r="O187" t="str">
        <f t="shared" si="15"/>
        <v>No</v>
      </c>
      <c r="P187" t="str">
        <f t="shared" si="16"/>
        <v>No</v>
      </c>
      <c r="Q187" t="str">
        <f t="shared" si="17"/>
        <v>Yes</v>
      </c>
    </row>
    <row r="188" spans="1:17" x14ac:dyDescent="0.25">
      <c r="A188" t="s">
        <v>29</v>
      </c>
      <c r="B188" t="str">
        <f t="shared" si="12"/>
        <v>P-187</v>
      </c>
      <c r="C188" t="s">
        <v>7</v>
      </c>
      <c r="D188">
        <v>3</v>
      </c>
      <c r="E188">
        <v>3</v>
      </c>
      <c r="F188">
        <v>90000</v>
      </c>
      <c r="G188" t="s">
        <v>10</v>
      </c>
      <c r="H188" t="s">
        <v>9</v>
      </c>
      <c r="I188" t="s">
        <v>10</v>
      </c>
      <c r="J188" t="s">
        <v>10</v>
      </c>
      <c r="K188" t="s">
        <v>9</v>
      </c>
      <c r="L188" t="s">
        <v>9</v>
      </c>
      <c r="M188" t="str">
        <f t="shared" si="13"/>
        <v>No</v>
      </c>
      <c r="N188" t="str">
        <f t="shared" si="14"/>
        <v>Yes</v>
      </c>
      <c r="O188" t="str">
        <f t="shared" si="15"/>
        <v>No</v>
      </c>
      <c r="P188" t="str">
        <f t="shared" si="16"/>
        <v>No</v>
      </c>
      <c r="Q188" t="str">
        <f t="shared" si="17"/>
        <v>Yes</v>
      </c>
    </row>
    <row r="189" spans="1:17" x14ac:dyDescent="0.25">
      <c r="A189" t="s">
        <v>29</v>
      </c>
      <c r="B189" t="str">
        <f t="shared" si="12"/>
        <v>P-188</v>
      </c>
      <c r="C189" t="s">
        <v>14</v>
      </c>
      <c r="D189">
        <v>4</v>
      </c>
      <c r="E189">
        <v>4</v>
      </c>
      <c r="F189">
        <v>60000</v>
      </c>
      <c r="G189" t="s">
        <v>10</v>
      </c>
      <c r="H189" t="s">
        <v>9</v>
      </c>
      <c r="I189" t="s">
        <v>10</v>
      </c>
      <c r="J189" t="s">
        <v>10</v>
      </c>
      <c r="K189" t="s">
        <v>9</v>
      </c>
      <c r="L189" t="s">
        <v>9</v>
      </c>
      <c r="M189" t="str">
        <f t="shared" si="13"/>
        <v>No</v>
      </c>
      <c r="N189" t="str">
        <f t="shared" si="14"/>
        <v>Yes</v>
      </c>
      <c r="O189" t="str">
        <f t="shared" si="15"/>
        <v>No</v>
      </c>
      <c r="P189" t="str">
        <f t="shared" si="16"/>
        <v>No</v>
      </c>
      <c r="Q189" t="str">
        <f t="shared" si="17"/>
        <v>Yes</v>
      </c>
    </row>
    <row r="190" spans="1:17" x14ac:dyDescent="0.25">
      <c r="A190" t="s">
        <v>29</v>
      </c>
      <c r="B190" t="str">
        <f t="shared" si="12"/>
        <v>P-189</v>
      </c>
      <c r="C190" t="s">
        <v>7</v>
      </c>
      <c r="D190">
        <v>2</v>
      </c>
      <c r="E190">
        <v>3</v>
      </c>
      <c r="F190">
        <v>180000</v>
      </c>
      <c r="G190" t="s">
        <v>9</v>
      </c>
      <c r="H190" t="s">
        <v>9</v>
      </c>
      <c r="I190" t="s">
        <v>9</v>
      </c>
      <c r="J190" t="s">
        <v>9</v>
      </c>
      <c r="K190" t="s">
        <v>9</v>
      </c>
      <c r="L190" t="s">
        <v>9</v>
      </c>
      <c r="M190" t="str">
        <f t="shared" si="13"/>
        <v>Yes</v>
      </c>
      <c r="N190" t="str">
        <f t="shared" si="14"/>
        <v>Yes</v>
      </c>
      <c r="O190" t="str">
        <f t="shared" si="15"/>
        <v>Yes</v>
      </c>
      <c r="P190" t="str">
        <f t="shared" si="16"/>
        <v>Yes</v>
      </c>
      <c r="Q190" t="str">
        <f t="shared" si="17"/>
        <v>Yes</v>
      </c>
    </row>
    <row r="191" spans="1:17" x14ac:dyDescent="0.25">
      <c r="A191" t="s">
        <v>29</v>
      </c>
      <c r="B191" t="str">
        <f t="shared" si="12"/>
        <v>P-190</v>
      </c>
      <c r="C191" t="s">
        <v>7</v>
      </c>
      <c r="D191">
        <v>2</v>
      </c>
      <c r="E191">
        <v>2</v>
      </c>
      <c r="F191">
        <v>66500</v>
      </c>
      <c r="G191" t="s">
        <v>10</v>
      </c>
      <c r="H191" t="s">
        <v>9</v>
      </c>
      <c r="I191" t="s">
        <v>10</v>
      </c>
      <c r="J191" t="s">
        <v>10</v>
      </c>
      <c r="K191" t="s">
        <v>9</v>
      </c>
      <c r="L191" t="s">
        <v>9</v>
      </c>
      <c r="M191" t="str">
        <f t="shared" si="13"/>
        <v>No</v>
      </c>
      <c r="N191" t="str">
        <f t="shared" si="14"/>
        <v>Yes</v>
      </c>
      <c r="O191" t="str">
        <f t="shared" si="15"/>
        <v>No</v>
      </c>
      <c r="P191" t="str">
        <f t="shared" si="16"/>
        <v>No</v>
      </c>
      <c r="Q191" t="str">
        <f t="shared" si="17"/>
        <v>Yes</v>
      </c>
    </row>
    <row r="192" spans="1:17" x14ac:dyDescent="0.25">
      <c r="A192" t="s">
        <v>29</v>
      </c>
      <c r="B192" t="str">
        <f t="shared" si="12"/>
        <v>P-191</v>
      </c>
      <c r="C192" t="s">
        <v>7</v>
      </c>
      <c r="D192">
        <v>3</v>
      </c>
      <c r="E192">
        <v>2</v>
      </c>
      <c r="F192">
        <v>110000</v>
      </c>
      <c r="G192" t="s">
        <v>9</v>
      </c>
      <c r="H192" t="s">
        <v>9</v>
      </c>
      <c r="I192" t="s">
        <v>10</v>
      </c>
      <c r="J192" t="s">
        <v>10</v>
      </c>
      <c r="K192" t="s">
        <v>9</v>
      </c>
      <c r="L192" t="s">
        <v>9</v>
      </c>
      <c r="M192" t="str">
        <f t="shared" si="13"/>
        <v>Yes</v>
      </c>
      <c r="N192" t="str">
        <f t="shared" si="14"/>
        <v>Yes</v>
      </c>
      <c r="O192" t="str">
        <f t="shared" si="15"/>
        <v>No</v>
      </c>
      <c r="P192" t="str">
        <f t="shared" si="16"/>
        <v>No</v>
      </c>
      <c r="Q192" t="str">
        <f t="shared" si="17"/>
        <v>Yes</v>
      </c>
    </row>
    <row r="193" spans="1:17" x14ac:dyDescent="0.25">
      <c r="A193" t="s">
        <v>29</v>
      </c>
      <c r="B193" t="str">
        <f t="shared" si="12"/>
        <v>P-192</v>
      </c>
      <c r="C193" t="s">
        <v>7</v>
      </c>
      <c r="D193">
        <v>2</v>
      </c>
      <c r="E193">
        <v>1</v>
      </c>
      <c r="F193">
        <v>48000</v>
      </c>
      <c r="G193" t="s">
        <v>10</v>
      </c>
      <c r="H193" t="s">
        <v>9</v>
      </c>
      <c r="I193" t="s">
        <v>10</v>
      </c>
      <c r="J193" t="s">
        <v>10</v>
      </c>
      <c r="K193" t="s">
        <v>9</v>
      </c>
      <c r="L193" t="s">
        <v>9</v>
      </c>
      <c r="M193" t="str">
        <f t="shared" si="13"/>
        <v>No</v>
      </c>
      <c r="N193" t="str">
        <f t="shared" si="14"/>
        <v>Yes</v>
      </c>
      <c r="O193" t="str">
        <f t="shared" si="15"/>
        <v>No</v>
      </c>
      <c r="P193" t="str">
        <f t="shared" si="16"/>
        <v>No</v>
      </c>
      <c r="Q193" t="str">
        <f t="shared" si="17"/>
        <v>Yes</v>
      </c>
    </row>
    <row r="194" spans="1:17" x14ac:dyDescent="0.25">
      <c r="A194" t="s">
        <v>29</v>
      </c>
      <c r="B194" t="str">
        <f t="shared" ref="B194:B257" si="18">"P-"&amp;TEXT(ROW(A194)-1,"000")</f>
        <v>P-193</v>
      </c>
      <c r="C194" t="s">
        <v>7</v>
      </c>
      <c r="D194">
        <v>2</v>
      </c>
      <c r="E194">
        <v>2</v>
      </c>
      <c r="F194">
        <v>50000</v>
      </c>
      <c r="G194" t="s">
        <v>10</v>
      </c>
      <c r="H194" t="s">
        <v>9</v>
      </c>
      <c r="I194" t="s">
        <v>10</v>
      </c>
      <c r="J194" t="s">
        <v>10</v>
      </c>
      <c r="K194" t="s">
        <v>9</v>
      </c>
      <c r="L194" t="s">
        <v>9</v>
      </c>
      <c r="M194" t="str">
        <f t="shared" ref="M194:M257" si="19">PROPER(TRIM(G194))</f>
        <v>No</v>
      </c>
      <c r="N194" t="str">
        <f t="shared" ref="N194:N257" si="20">PROPER(TRIM(H194))</f>
        <v>Yes</v>
      </c>
      <c r="O194" t="str">
        <f t="shared" ref="O194:O257" si="21">PROPER(TRIM(I194))</f>
        <v>No</v>
      </c>
      <c r="P194" t="str">
        <f t="shared" ref="P194:P257" si="22">PROPER(TRIM(J194))</f>
        <v>No</v>
      </c>
      <c r="Q194" t="str">
        <f t="shared" ref="Q194:Q257" si="23">PROPER(TRIM(L194))</f>
        <v>Yes</v>
      </c>
    </row>
    <row r="195" spans="1:17" x14ac:dyDescent="0.25">
      <c r="A195" t="s">
        <v>29</v>
      </c>
      <c r="B195" t="str">
        <f t="shared" si="18"/>
        <v>P-194</v>
      </c>
      <c r="C195" t="s">
        <v>40</v>
      </c>
      <c r="D195">
        <v>1</v>
      </c>
      <c r="E195">
        <v>2</v>
      </c>
      <c r="F195">
        <v>37000</v>
      </c>
      <c r="G195" t="s">
        <v>10</v>
      </c>
      <c r="H195" t="s">
        <v>9</v>
      </c>
      <c r="I195" t="s">
        <v>10</v>
      </c>
      <c r="J195" t="s">
        <v>10</v>
      </c>
      <c r="K195" t="s">
        <v>9</v>
      </c>
      <c r="L195" t="s">
        <v>9</v>
      </c>
      <c r="M195" t="str">
        <f t="shared" si="19"/>
        <v>No</v>
      </c>
      <c r="N195" t="str">
        <f t="shared" si="20"/>
        <v>Yes</v>
      </c>
      <c r="O195" t="str">
        <f t="shared" si="21"/>
        <v>No</v>
      </c>
      <c r="P195" t="str">
        <f t="shared" si="22"/>
        <v>No</v>
      </c>
      <c r="Q195" t="str">
        <f t="shared" si="23"/>
        <v>Yes</v>
      </c>
    </row>
    <row r="196" spans="1:17" x14ac:dyDescent="0.25">
      <c r="A196" t="s">
        <v>29</v>
      </c>
      <c r="B196" t="str">
        <f t="shared" si="18"/>
        <v>P-195</v>
      </c>
      <c r="C196" t="s">
        <v>24</v>
      </c>
      <c r="D196">
        <v>1</v>
      </c>
      <c r="E196">
        <v>1</v>
      </c>
      <c r="F196">
        <v>85000</v>
      </c>
      <c r="G196" t="s">
        <v>9</v>
      </c>
      <c r="H196" t="s">
        <v>9</v>
      </c>
      <c r="I196" t="s">
        <v>10</v>
      </c>
      <c r="J196" t="s">
        <v>10</v>
      </c>
      <c r="K196" t="s">
        <v>9</v>
      </c>
      <c r="L196" t="s">
        <v>9</v>
      </c>
      <c r="M196" t="str">
        <f t="shared" si="19"/>
        <v>Yes</v>
      </c>
      <c r="N196" t="str">
        <f t="shared" si="20"/>
        <v>Yes</v>
      </c>
      <c r="O196" t="str">
        <f t="shared" si="21"/>
        <v>No</v>
      </c>
      <c r="P196" t="str">
        <f t="shared" si="22"/>
        <v>No</v>
      </c>
      <c r="Q196" t="str">
        <f t="shared" si="23"/>
        <v>Yes</v>
      </c>
    </row>
    <row r="197" spans="1:17" x14ac:dyDescent="0.25">
      <c r="A197" t="s">
        <v>29</v>
      </c>
      <c r="B197" t="str">
        <f t="shared" si="18"/>
        <v>P-196</v>
      </c>
      <c r="C197" t="s">
        <v>7</v>
      </c>
      <c r="D197">
        <v>3</v>
      </c>
      <c r="E197">
        <v>3</v>
      </c>
      <c r="F197">
        <v>85000</v>
      </c>
      <c r="G197" t="s">
        <v>10</v>
      </c>
      <c r="H197" t="s">
        <v>9</v>
      </c>
      <c r="I197" t="s">
        <v>10</v>
      </c>
      <c r="J197" t="s">
        <v>9</v>
      </c>
      <c r="K197" t="s">
        <v>9</v>
      </c>
      <c r="L197" t="s">
        <v>9</v>
      </c>
      <c r="M197" t="str">
        <f t="shared" si="19"/>
        <v>No</v>
      </c>
      <c r="N197" t="str">
        <f t="shared" si="20"/>
        <v>Yes</v>
      </c>
      <c r="O197" t="str">
        <f t="shared" si="21"/>
        <v>No</v>
      </c>
      <c r="P197" t="str">
        <f t="shared" si="22"/>
        <v>Yes</v>
      </c>
      <c r="Q197" t="str">
        <f t="shared" si="23"/>
        <v>Yes</v>
      </c>
    </row>
    <row r="198" spans="1:17" x14ac:dyDescent="0.25">
      <c r="A198" t="s">
        <v>29</v>
      </c>
      <c r="B198" t="str">
        <f t="shared" si="18"/>
        <v>P-197</v>
      </c>
      <c r="C198" t="s">
        <v>7</v>
      </c>
      <c r="D198">
        <v>3</v>
      </c>
      <c r="E198">
        <v>2</v>
      </c>
      <c r="F198">
        <v>60000</v>
      </c>
      <c r="G198" t="s">
        <v>10</v>
      </c>
      <c r="H198" t="s">
        <v>9</v>
      </c>
      <c r="I198" t="s">
        <v>9</v>
      </c>
      <c r="J198" t="s">
        <v>10</v>
      </c>
      <c r="K198" t="s">
        <v>9</v>
      </c>
      <c r="L198" t="s">
        <v>9</v>
      </c>
      <c r="M198" t="str">
        <f t="shared" si="19"/>
        <v>No</v>
      </c>
      <c r="N198" t="str">
        <f t="shared" si="20"/>
        <v>Yes</v>
      </c>
      <c r="O198" t="str">
        <f t="shared" si="21"/>
        <v>Yes</v>
      </c>
      <c r="P198" t="str">
        <f t="shared" si="22"/>
        <v>No</v>
      </c>
      <c r="Q198" t="str">
        <f t="shared" si="23"/>
        <v>Yes</v>
      </c>
    </row>
    <row r="199" spans="1:17" x14ac:dyDescent="0.25">
      <c r="A199" t="s">
        <v>29</v>
      </c>
      <c r="B199" t="str">
        <f t="shared" si="18"/>
        <v>P-198</v>
      </c>
      <c r="C199" t="s">
        <v>7</v>
      </c>
      <c r="D199">
        <v>1</v>
      </c>
      <c r="E199">
        <v>1</v>
      </c>
      <c r="F199">
        <v>50000</v>
      </c>
      <c r="G199" t="s">
        <v>10</v>
      </c>
      <c r="H199" t="s">
        <v>9</v>
      </c>
      <c r="I199" t="s">
        <v>10</v>
      </c>
      <c r="J199" t="s">
        <v>10</v>
      </c>
      <c r="K199" t="s">
        <v>9</v>
      </c>
      <c r="L199" t="s">
        <v>9</v>
      </c>
      <c r="M199" t="str">
        <f t="shared" si="19"/>
        <v>No</v>
      </c>
      <c r="N199" t="str">
        <f t="shared" si="20"/>
        <v>Yes</v>
      </c>
      <c r="O199" t="str">
        <f t="shared" si="21"/>
        <v>No</v>
      </c>
      <c r="P199" t="str">
        <f t="shared" si="22"/>
        <v>No</v>
      </c>
      <c r="Q199" t="str">
        <f t="shared" si="23"/>
        <v>Yes</v>
      </c>
    </row>
    <row r="200" spans="1:17" x14ac:dyDescent="0.25">
      <c r="A200" t="s">
        <v>29</v>
      </c>
      <c r="B200" t="str">
        <f t="shared" si="18"/>
        <v>P-199</v>
      </c>
      <c r="C200" t="s">
        <v>7</v>
      </c>
      <c r="D200">
        <v>2</v>
      </c>
      <c r="E200">
        <v>2</v>
      </c>
      <c r="F200">
        <v>165000</v>
      </c>
      <c r="G200" t="s">
        <v>9</v>
      </c>
      <c r="H200" t="s">
        <v>9</v>
      </c>
      <c r="I200" t="s">
        <v>9</v>
      </c>
      <c r="J200" t="s">
        <v>9</v>
      </c>
      <c r="K200" t="s">
        <v>9</v>
      </c>
      <c r="L200" t="s">
        <v>9</v>
      </c>
      <c r="M200" t="str">
        <f t="shared" si="19"/>
        <v>Yes</v>
      </c>
      <c r="N200" t="str">
        <f t="shared" si="20"/>
        <v>Yes</v>
      </c>
      <c r="O200" t="str">
        <f t="shared" si="21"/>
        <v>Yes</v>
      </c>
      <c r="P200" t="str">
        <f t="shared" si="22"/>
        <v>Yes</v>
      </c>
      <c r="Q200" t="str">
        <f t="shared" si="23"/>
        <v>Yes</v>
      </c>
    </row>
    <row r="201" spans="1:17" x14ac:dyDescent="0.25">
      <c r="A201" t="s">
        <v>29</v>
      </c>
      <c r="B201" t="str">
        <f t="shared" si="18"/>
        <v>P-200</v>
      </c>
      <c r="C201" t="s">
        <v>7</v>
      </c>
      <c r="D201">
        <v>1</v>
      </c>
      <c r="E201">
        <v>1</v>
      </c>
      <c r="F201">
        <v>45000</v>
      </c>
      <c r="G201" t="s">
        <v>10</v>
      </c>
      <c r="H201" t="s">
        <v>9</v>
      </c>
      <c r="I201" t="s">
        <v>10</v>
      </c>
      <c r="J201" t="s">
        <v>10</v>
      </c>
      <c r="K201" t="s">
        <v>9</v>
      </c>
      <c r="L201" t="s">
        <v>9</v>
      </c>
      <c r="M201" t="str">
        <f t="shared" si="19"/>
        <v>No</v>
      </c>
      <c r="N201" t="str">
        <f t="shared" si="20"/>
        <v>Yes</v>
      </c>
      <c r="O201" t="str">
        <f t="shared" si="21"/>
        <v>No</v>
      </c>
      <c r="P201" t="str">
        <f t="shared" si="22"/>
        <v>No</v>
      </c>
      <c r="Q201" t="str">
        <f t="shared" si="23"/>
        <v>Yes</v>
      </c>
    </row>
    <row r="202" spans="1:17" x14ac:dyDescent="0.25">
      <c r="A202" t="s">
        <v>29</v>
      </c>
      <c r="B202" t="str">
        <f t="shared" si="18"/>
        <v>P-201</v>
      </c>
      <c r="C202" t="s">
        <v>7</v>
      </c>
      <c r="D202">
        <v>3</v>
      </c>
      <c r="E202">
        <v>3</v>
      </c>
      <c r="F202">
        <v>100000</v>
      </c>
      <c r="G202" t="s">
        <v>9</v>
      </c>
      <c r="H202" t="s">
        <v>9</v>
      </c>
      <c r="I202" t="s">
        <v>10</v>
      </c>
      <c r="J202" t="s">
        <v>10</v>
      </c>
      <c r="K202" t="s">
        <v>9</v>
      </c>
      <c r="L202" t="s">
        <v>9</v>
      </c>
      <c r="M202" t="str">
        <f t="shared" si="19"/>
        <v>Yes</v>
      </c>
      <c r="N202" t="str">
        <f t="shared" si="20"/>
        <v>Yes</v>
      </c>
      <c r="O202" t="str">
        <f t="shared" si="21"/>
        <v>No</v>
      </c>
      <c r="P202" t="str">
        <f t="shared" si="22"/>
        <v>No</v>
      </c>
      <c r="Q202" t="str">
        <f t="shared" si="23"/>
        <v>Yes</v>
      </c>
    </row>
    <row r="203" spans="1:17" x14ac:dyDescent="0.25">
      <c r="A203" t="s">
        <v>29</v>
      </c>
      <c r="B203" t="str">
        <f t="shared" si="18"/>
        <v>P-202</v>
      </c>
      <c r="C203" t="s">
        <v>7</v>
      </c>
      <c r="D203">
        <v>3</v>
      </c>
      <c r="E203">
        <v>2</v>
      </c>
      <c r="F203">
        <v>60000</v>
      </c>
      <c r="G203" t="s">
        <v>10</v>
      </c>
      <c r="H203" t="s">
        <v>9</v>
      </c>
      <c r="I203" t="s">
        <v>10</v>
      </c>
      <c r="J203" t="s">
        <v>10</v>
      </c>
      <c r="K203" t="s">
        <v>9</v>
      </c>
      <c r="L203" t="s">
        <v>9</v>
      </c>
      <c r="M203" t="str">
        <f t="shared" si="19"/>
        <v>No</v>
      </c>
      <c r="N203" t="str">
        <f t="shared" si="20"/>
        <v>Yes</v>
      </c>
      <c r="O203" t="str">
        <f t="shared" si="21"/>
        <v>No</v>
      </c>
      <c r="P203" t="str">
        <f t="shared" si="22"/>
        <v>No</v>
      </c>
      <c r="Q203" t="str">
        <f t="shared" si="23"/>
        <v>Yes</v>
      </c>
    </row>
    <row r="204" spans="1:17" x14ac:dyDescent="0.25">
      <c r="A204" t="s">
        <v>29</v>
      </c>
      <c r="B204" t="str">
        <f t="shared" si="18"/>
        <v>P-203</v>
      </c>
      <c r="C204" t="s">
        <v>7</v>
      </c>
      <c r="D204">
        <v>2</v>
      </c>
      <c r="E204">
        <v>2</v>
      </c>
      <c r="F204">
        <v>50000</v>
      </c>
      <c r="G204" t="s">
        <v>10</v>
      </c>
      <c r="H204" t="s">
        <v>9</v>
      </c>
      <c r="I204" t="s">
        <v>10</v>
      </c>
      <c r="J204" t="s">
        <v>10</v>
      </c>
      <c r="K204" t="s">
        <v>9</v>
      </c>
      <c r="L204" t="s">
        <v>9</v>
      </c>
      <c r="M204" t="str">
        <f t="shared" si="19"/>
        <v>No</v>
      </c>
      <c r="N204" t="str">
        <f t="shared" si="20"/>
        <v>Yes</v>
      </c>
      <c r="O204" t="str">
        <f t="shared" si="21"/>
        <v>No</v>
      </c>
      <c r="P204" t="str">
        <f t="shared" si="22"/>
        <v>No</v>
      </c>
      <c r="Q204" t="str">
        <f t="shared" si="23"/>
        <v>Yes</v>
      </c>
    </row>
    <row r="205" spans="1:17" x14ac:dyDescent="0.25">
      <c r="A205" t="s">
        <v>29</v>
      </c>
      <c r="B205" t="str">
        <f t="shared" si="18"/>
        <v>P-204</v>
      </c>
      <c r="C205" t="s">
        <v>7</v>
      </c>
      <c r="D205">
        <v>3</v>
      </c>
      <c r="E205">
        <v>2</v>
      </c>
      <c r="F205">
        <v>60000</v>
      </c>
      <c r="G205" t="s">
        <v>10</v>
      </c>
      <c r="H205" t="s">
        <v>9</v>
      </c>
      <c r="I205" t="s">
        <v>10</v>
      </c>
      <c r="J205" t="s">
        <v>10</v>
      </c>
      <c r="K205" t="s">
        <v>9</v>
      </c>
      <c r="L205" t="s">
        <v>9</v>
      </c>
      <c r="M205" t="str">
        <f t="shared" si="19"/>
        <v>No</v>
      </c>
      <c r="N205" t="str">
        <f t="shared" si="20"/>
        <v>Yes</v>
      </c>
      <c r="O205" t="str">
        <f t="shared" si="21"/>
        <v>No</v>
      </c>
      <c r="P205" t="str">
        <f t="shared" si="22"/>
        <v>No</v>
      </c>
      <c r="Q205" t="str">
        <f t="shared" si="23"/>
        <v>Yes</v>
      </c>
    </row>
    <row r="206" spans="1:17" x14ac:dyDescent="0.25">
      <c r="A206" t="s">
        <v>29</v>
      </c>
      <c r="B206" t="str">
        <f t="shared" si="18"/>
        <v>P-205</v>
      </c>
      <c r="C206" t="s">
        <v>7</v>
      </c>
      <c r="D206">
        <v>2</v>
      </c>
      <c r="E206">
        <v>2</v>
      </c>
      <c r="F206">
        <v>150000</v>
      </c>
      <c r="G206" t="s">
        <v>9</v>
      </c>
      <c r="H206" t="s">
        <v>9</v>
      </c>
      <c r="I206" t="s">
        <v>9</v>
      </c>
      <c r="J206" t="s">
        <v>9</v>
      </c>
      <c r="K206" t="s">
        <v>9</v>
      </c>
      <c r="L206" t="s">
        <v>9</v>
      </c>
      <c r="M206" t="str">
        <f t="shared" si="19"/>
        <v>Yes</v>
      </c>
      <c r="N206" t="str">
        <f t="shared" si="20"/>
        <v>Yes</v>
      </c>
      <c r="O206" t="str">
        <f t="shared" si="21"/>
        <v>Yes</v>
      </c>
      <c r="P206" t="str">
        <f t="shared" si="22"/>
        <v>Yes</v>
      </c>
      <c r="Q206" t="str">
        <f t="shared" si="23"/>
        <v>Yes</v>
      </c>
    </row>
    <row r="207" spans="1:17" x14ac:dyDescent="0.25">
      <c r="A207" t="s">
        <v>29</v>
      </c>
      <c r="B207" t="str">
        <f t="shared" si="18"/>
        <v>P-206</v>
      </c>
      <c r="C207" t="s">
        <v>40</v>
      </c>
      <c r="D207">
        <v>3</v>
      </c>
      <c r="E207">
        <v>2</v>
      </c>
      <c r="F207">
        <v>250000</v>
      </c>
      <c r="G207" t="s">
        <v>10</v>
      </c>
      <c r="H207" t="s">
        <v>9</v>
      </c>
      <c r="I207" t="s">
        <v>10</v>
      </c>
      <c r="J207" t="s">
        <v>10</v>
      </c>
      <c r="K207" t="s">
        <v>9</v>
      </c>
      <c r="L207" t="s">
        <v>9</v>
      </c>
      <c r="M207" t="str">
        <f t="shared" si="19"/>
        <v>No</v>
      </c>
      <c r="N207" t="str">
        <f t="shared" si="20"/>
        <v>Yes</v>
      </c>
      <c r="O207" t="str">
        <f t="shared" si="21"/>
        <v>No</v>
      </c>
      <c r="P207" t="str">
        <f t="shared" si="22"/>
        <v>No</v>
      </c>
      <c r="Q207" t="str">
        <f t="shared" si="23"/>
        <v>Yes</v>
      </c>
    </row>
    <row r="208" spans="1:17" x14ac:dyDescent="0.25">
      <c r="A208" t="s">
        <v>29</v>
      </c>
      <c r="B208" t="str">
        <f t="shared" si="18"/>
        <v>P-207</v>
      </c>
      <c r="C208" t="s">
        <v>7</v>
      </c>
      <c r="D208">
        <v>2</v>
      </c>
      <c r="E208">
        <v>2</v>
      </c>
      <c r="F208">
        <v>60000</v>
      </c>
      <c r="G208" t="s">
        <v>10</v>
      </c>
      <c r="H208" t="s">
        <v>9</v>
      </c>
      <c r="I208" t="s">
        <v>10</v>
      </c>
      <c r="J208" t="s">
        <v>10</v>
      </c>
      <c r="K208" t="s">
        <v>9</v>
      </c>
      <c r="L208" t="s">
        <v>9</v>
      </c>
      <c r="M208" t="str">
        <f t="shared" si="19"/>
        <v>No</v>
      </c>
      <c r="N208" t="str">
        <f t="shared" si="20"/>
        <v>Yes</v>
      </c>
      <c r="O208" t="str">
        <f t="shared" si="21"/>
        <v>No</v>
      </c>
      <c r="P208" t="str">
        <f t="shared" si="22"/>
        <v>No</v>
      </c>
      <c r="Q208" t="str">
        <f t="shared" si="23"/>
        <v>Yes</v>
      </c>
    </row>
    <row r="209" spans="1:17" x14ac:dyDescent="0.25">
      <c r="A209" t="s">
        <v>29</v>
      </c>
      <c r="B209" t="str">
        <f t="shared" si="18"/>
        <v>P-208</v>
      </c>
      <c r="C209" t="s">
        <v>7</v>
      </c>
      <c r="D209">
        <v>2</v>
      </c>
      <c r="E209">
        <v>2</v>
      </c>
      <c r="F209">
        <v>50000</v>
      </c>
      <c r="G209" t="s">
        <v>10</v>
      </c>
      <c r="H209" t="s">
        <v>9</v>
      </c>
      <c r="I209" t="s">
        <v>10</v>
      </c>
      <c r="J209" t="s">
        <v>10</v>
      </c>
      <c r="K209" t="s">
        <v>9</v>
      </c>
      <c r="L209" t="s">
        <v>9</v>
      </c>
      <c r="M209" t="str">
        <f t="shared" si="19"/>
        <v>No</v>
      </c>
      <c r="N209" t="str">
        <f t="shared" si="20"/>
        <v>Yes</v>
      </c>
      <c r="O209" t="str">
        <f t="shared" si="21"/>
        <v>No</v>
      </c>
      <c r="P209" t="str">
        <f t="shared" si="22"/>
        <v>No</v>
      </c>
      <c r="Q209" t="str">
        <f t="shared" si="23"/>
        <v>Yes</v>
      </c>
    </row>
    <row r="210" spans="1:17" x14ac:dyDescent="0.25">
      <c r="A210" t="s">
        <v>29</v>
      </c>
      <c r="B210" t="str">
        <f t="shared" si="18"/>
        <v>P-209</v>
      </c>
      <c r="C210" t="s">
        <v>24</v>
      </c>
      <c r="D210">
        <v>1</v>
      </c>
      <c r="E210">
        <v>1</v>
      </c>
      <c r="F210">
        <v>40000</v>
      </c>
      <c r="G210" t="s">
        <v>10</v>
      </c>
      <c r="H210" t="s">
        <v>9</v>
      </c>
      <c r="I210" t="s">
        <v>10</v>
      </c>
      <c r="J210" t="s">
        <v>10</v>
      </c>
      <c r="K210" t="s">
        <v>9</v>
      </c>
      <c r="L210" t="s">
        <v>9</v>
      </c>
      <c r="M210" t="str">
        <f t="shared" si="19"/>
        <v>No</v>
      </c>
      <c r="N210" t="str">
        <f t="shared" si="20"/>
        <v>Yes</v>
      </c>
      <c r="O210" t="str">
        <f t="shared" si="21"/>
        <v>No</v>
      </c>
      <c r="P210" t="str">
        <f t="shared" si="22"/>
        <v>No</v>
      </c>
      <c r="Q210" t="str">
        <f t="shared" si="23"/>
        <v>Yes</v>
      </c>
    </row>
    <row r="211" spans="1:17" x14ac:dyDescent="0.25">
      <c r="A211" t="s">
        <v>29</v>
      </c>
      <c r="B211" t="str">
        <f t="shared" si="18"/>
        <v>P-210</v>
      </c>
      <c r="C211" t="s">
        <v>7</v>
      </c>
      <c r="D211">
        <v>3</v>
      </c>
      <c r="E211">
        <v>2</v>
      </c>
      <c r="F211">
        <v>90000</v>
      </c>
      <c r="G211" t="s">
        <v>9</v>
      </c>
      <c r="H211" t="s">
        <v>9</v>
      </c>
      <c r="I211" t="s">
        <v>10</v>
      </c>
      <c r="J211" t="s">
        <v>10</v>
      </c>
      <c r="K211" t="s">
        <v>9</v>
      </c>
      <c r="L211" t="s">
        <v>9</v>
      </c>
      <c r="M211" t="str">
        <f t="shared" si="19"/>
        <v>Yes</v>
      </c>
      <c r="N211" t="str">
        <f t="shared" si="20"/>
        <v>Yes</v>
      </c>
      <c r="O211" t="str">
        <f t="shared" si="21"/>
        <v>No</v>
      </c>
      <c r="P211" t="str">
        <f t="shared" si="22"/>
        <v>No</v>
      </c>
      <c r="Q211" t="str">
        <f t="shared" si="23"/>
        <v>Yes</v>
      </c>
    </row>
    <row r="212" spans="1:17" x14ac:dyDescent="0.25">
      <c r="A212" t="s">
        <v>30</v>
      </c>
      <c r="B212" t="str">
        <f t="shared" si="18"/>
        <v>P-211</v>
      </c>
      <c r="C212" t="s">
        <v>7</v>
      </c>
      <c r="D212">
        <v>2</v>
      </c>
      <c r="E212">
        <v>3</v>
      </c>
      <c r="F212">
        <v>99000</v>
      </c>
      <c r="G212" t="s">
        <v>10</v>
      </c>
      <c r="H212" t="s">
        <v>9</v>
      </c>
      <c r="I212" t="s">
        <v>9</v>
      </c>
      <c r="J212" t="s">
        <v>9</v>
      </c>
      <c r="K212" t="s">
        <v>9</v>
      </c>
      <c r="L212" t="s">
        <v>9</v>
      </c>
      <c r="M212" t="str">
        <f t="shared" si="19"/>
        <v>No</v>
      </c>
      <c r="N212" t="str">
        <f t="shared" si="20"/>
        <v>Yes</v>
      </c>
      <c r="O212" t="str">
        <f t="shared" si="21"/>
        <v>Yes</v>
      </c>
      <c r="P212" t="str">
        <f t="shared" si="22"/>
        <v>Yes</v>
      </c>
      <c r="Q212" t="str">
        <f t="shared" si="23"/>
        <v>Yes</v>
      </c>
    </row>
    <row r="213" spans="1:17" x14ac:dyDescent="0.25">
      <c r="A213" t="s">
        <v>30</v>
      </c>
      <c r="B213" t="str">
        <f t="shared" si="18"/>
        <v>P-212</v>
      </c>
      <c r="C213" t="s">
        <v>7</v>
      </c>
      <c r="D213">
        <v>2</v>
      </c>
      <c r="E213">
        <v>2</v>
      </c>
      <c r="F213">
        <v>50000</v>
      </c>
      <c r="G213" t="s">
        <v>10</v>
      </c>
      <c r="H213" t="s">
        <v>9</v>
      </c>
      <c r="I213" t="s">
        <v>9</v>
      </c>
      <c r="J213" t="s">
        <v>9</v>
      </c>
      <c r="K213" t="s">
        <v>9</v>
      </c>
      <c r="L213" t="s">
        <v>9</v>
      </c>
      <c r="M213" t="str">
        <f t="shared" si="19"/>
        <v>No</v>
      </c>
      <c r="N213" t="str">
        <f t="shared" si="20"/>
        <v>Yes</v>
      </c>
      <c r="O213" t="str">
        <f t="shared" si="21"/>
        <v>Yes</v>
      </c>
      <c r="P213" t="str">
        <f t="shared" si="22"/>
        <v>Yes</v>
      </c>
      <c r="Q213" t="str">
        <f t="shared" si="23"/>
        <v>Yes</v>
      </c>
    </row>
    <row r="214" spans="1:17" x14ac:dyDescent="0.25">
      <c r="A214" t="s">
        <v>30</v>
      </c>
      <c r="B214" t="str">
        <f t="shared" si="18"/>
        <v>P-213</v>
      </c>
      <c r="C214" t="s">
        <v>7</v>
      </c>
      <c r="D214">
        <v>1</v>
      </c>
      <c r="E214">
        <v>1</v>
      </c>
      <c r="F214">
        <v>38000</v>
      </c>
      <c r="G214" t="s">
        <v>10</v>
      </c>
      <c r="H214" t="s">
        <v>9</v>
      </c>
      <c r="I214" t="s">
        <v>9</v>
      </c>
      <c r="J214" t="s">
        <v>9</v>
      </c>
      <c r="K214" t="s">
        <v>9</v>
      </c>
      <c r="L214" t="s">
        <v>9</v>
      </c>
      <c r="M214" t="str">
        <f t="shared" si="19"/>
        <v>No</v>
      </c>
      <c r="N214" t="str">
        <f t="shared" si="20"/>
        <v>Yes</v>
      </c>
      <c r="O214" t="str">
        <f t="shared" si="21"/>
        <v>Yes</v>
      </c>
      <c r="P214" t="str">
        <f t="shared" si="22"/>
        <v>Yes</v>
      </c>
      <c r="Q214" t="str">
        <f t="shared" si="23"/>
        <v>Yes</v>
      </c>
    </row>
    <row r="215" spans="1:17" x14ac:dyDescent="0.25">
      <c r="A215" t="s">
        <v>30</v>
      </c>
      <c r="B215" t="str">
        <f t="shared" si="18"/>
        <v>P-214</v>
      </c>
      <c r="C215" t="s">
        <v>7</v>
      </c>
      <c r="D215">
        <v>2</v>
      </c>
      <c r="E215">
        <v>2</v>
      </c>
      <c r="F215">
        <v>50000</v>
      </c>
      <c r="G215" t="s">
        <v>10</v>
      </c>
      <c r="H215" t="s">
        <v>9</v>
      </c>
      <c r="I215" t="s">
        <v>9</v>
      </c>
      <c r="J215" t="s">
        <v>9</v>
      </c>
      <c r="K215" t="s">
        <v>9</v>
      </c>
      <c r="L215" t="s">
        <v>9</v>
      </c>
      <c r="M215" t="str">
        <f t="shared" si="19"/>
        <v>No</v>
      </c>
      <c r="N215" t="str">
        <f t="shared" si="20"/>
        <v>Yes</v>
      </c>
      <c r="O215" t="str">
        <f t="shared" si="21"/>
        <v>Yes</v>
      </c>
      <c r="P215" t="str">
        <f t="shared" si="22"/>
        <v>Yes</v>
      </c>
      <c r="Q215" t="str">
        <f t="shared" si="23"/>
        <v>Yes</v>
      </c>
    </row>
    <row r="216" spans="1:17" x14ac:dyDescent="0.25">
      <c r="A216" t="s">
        <v>30</v>
      </c>
      <c r="B216" t="str">
        <f t="shared" si="18"/>
        <v>P-215</v>
      </c>
      <c r="C216" t="s">
        <v>7</v>
      </c>
      <c r="D216">
        <v>1</v>
      </c>
      <c r="E216">
        <v>1</v>
      </c>
      <c r="F216">
        <v>38000</v>
      </c>
      <c r="G216" t="s">
        <v>10</v>
      </c>
      <c r="H216" t="s">
        <v>9</v>
      </c>
      <c r="I216" t="s">
        <v>9</v>
      </c>
      <c r="J216" t="s">
        <v>9</v>
      </c>
      <c r="K216" t="s">
        <v>9</v>
      </c>
      <c r="L216" t="s">
        <v>9</v>
      </c>
      <c r="M216" t="str">
        <f t="shared" si="19"/>
        <v>No</v>
      </c>
      <c r="N216" t="str">
        <f t="shared" si="20"/>
        <v>Yes</v>
      </c>
      <c r="O216" t="str">
        <f t="shared" si="21"/>
        <v>Yes</v>
      </c>
      <c r="P216" t="str">
        <f t="shared" si="22"/>
        <v>Yes</v>
      </c>
      <c r="Q216" t="str">
        <f t="shared" si="23"/>
        <v>Yes</v>
      </c>
    </row>
    <row r="217" spans="1:17" x14ac:dyDescent="0.25">
      <c r="A217" t="s">
        <v>30</v>
      </c>
      <c r="B217" t="str">
        <f t="shared" si="18"/>
        <v>P-216</v>
      </c>
      <c r="C217" t="s">
        <v>7</v>
      </c>
      <c r="D217">
        <v>2</v>
      </c>
      <c r="E217">
        <v>2</v>
      </c>
      <c r="F217">
        <v>110000</v>
      </c>
      <c r="G217" t="s">
        <v>10</v>
      </c>
      <c r="H217" t="s">
        <v>9</v>
      </c>
      <c r="I217" t="s">
        <v>9</v>
      </c>
      <c r="J217" t="s">
        <v>9</v>
      </c>
      <c r="K217" t="s">
        <v>9</v>
      </c>
      <c r="L217" t="s">
        <v>9</v>
      </c>
      <c r="M217" t="str">
        <f t="shared" si="19"/>
        <v>No</v>
      </c>
      <c r="N217" t="str">
        <f t="shared" si="20"/>
        <v>Yes</v>
      </c>
      <c r="O217" t="str">
        <f t="shared" si="21"/>
        <v>Yes</v>
      </c>
      <c r="P217" t="str">
        <f t="shared" si="22"/>
        <v>Yes</v>
      </c>
      <c r="Q217" t="str">
        <f t="shared" si="23"/>
        <v>Yes</v>
      </c>
    </row>
    <row r="218" spans="1:17" x14ac:dyDescent="0.25">
      <c r="A218" t="s">
        <v>30</v>
      </c>
      <c r="B218" t="str">
        <f t="shared" si="18"/>
        <v>P-217</v>
      </c>
      <c r="C218" t="s">
        <v>7</v>
      </c>
      <c r="D218">
        <v>2</v>
      </c>
      <c r="E218">
        <v>2</v>
      </c>
      <c r="F218">
        <v>110000</v>
      </c>
      <c r="G218" t="s">
        <v>10</v>
      </c>
      <c r="H218" t="s">
        <v>9</v>
      </c>
      <c r="I218" t="s">
        <v>9</v>
      </c>
      <c r="J218" t="s">
        <v>9</v>
      </c>
      <c r="K218" t="s">
        <v>9</v>
      </c>
      <c r="L218" t="s">
        <v>9</v>
      </c>
      <c r="M218" t="str">
        <f t="shared" si="19"/>
        <v>No</v>
      </c>
      <c r="N218" t="str">
        <f t="shared" si="20"/>
        <v>Yes</v>
      </c>
      <c r="O218" t="str">
        <f t="shared" si="21"/>
        <v>Yes</v>
      </c>
      <c r="P218" t="str">
        <f t="shared" si="22"/>
        <v>Yes</v>
      </c>
      <c r="Q218" t="str">
        <f t="shared" si="23"/>
        <v>Yes</v>
      </c>
    </row>
    <row r="219" spans="1:17" x14ac:dyDescent="0.25">
      <c r="A219" t="s">
        <v>30</v>
      </c>
      <c r="B219" t="str">
        <f t="shared" si="18"/>
        <v>P-218</v>
      </c>
      <c r="C219" t="s">
        <v>7</v>
      </c>
      <c r="D219">
        <v>2</v>
      </c>
      <c r="E219">
        <v>1</v>
      </c>
      <c r="F219">
        <v>94000</v>
      </c>
      <c r="G219" t="s">
        <v>10</v>
      </c>
      <c r="H219" t="s">
        <v>9</v>
      </c>
      <c r="I219" t="s">
        <v>9</v>
      </c>
      <c r="J219" t="s">
        <v>9</v>
      </c>
      <c r="K219" t="s">
        <v>9</v>
      </c>
      <c r="L219" t="s">
        <v>9</v>
      </c>
      <c r="M219" t="str">
        <f t="shared" si="19"/>
        <v>No</v>
      </c>
      <c r="N219" t="str">
        <f t="shared" si="20"/>
        <v>Yes</v>
      </c>
      <c r="O219" t="str">
        <f t="shared" si="21"/>
        <v>Yes</v>
      </c>
      <c r="P219" t="str">
        <f t="shared" si="22"/>
        <v>Yes</v>
      </c>
      <c r="Q219" t="str">
        <f t="shared" si="23"/>
        <v>Yes</v>
      </c>
    </row>
    <row r="220" spans="1:17" x14ac:dyDescent="0.25">
      <c r="A220" t="s">
        <v>30</v>
      </c>
      <c r="B220" t="str">
        <f t="shared" si="18"/>
        <v>P-219</v>
      </c>
      <c r="C220" t="s">
        <v>7</v>
      </c>
      <c r="D220">
        <v>3</v>
      </c>
      <c r="E220">
        <v>2</v>
      </c>
      <c r="F220">
        <v>120000</v>
      </c>
      <c r="G220" t="s">
        <v>10</v>
      </c>
      <c r="H220" t="s">
        <v>9</v>
      </c>
      <c r="I220" t="s">
        <v>9</v>
      </c>
      <c r="J220" t="s">
        <v>9</v>
      </c>
      <c r="K220" t="s">
        <v>9</v>
      </c>
      <c r="L220" t="s">
        <v>9</v>
      </c>
      <c r="M220" t="str">
        <f t="shared" si="19"/>
        <v>No</v>
      </c>
      <c r="N220" t="str">
        <f t="shared" si="20"/>
        <v>Yes</v>
      </c>
      <c r="O220" t="str">
        <f t="shared" si="21"/>
        <v>Yes</v>
      </c>
      <c r="P220" t="str">
        <f t="shared" si="22"/>
        <v>Yes</v>
      </c>
      <c r="Q220" t="str">
        <f t="shared" si="23"/>
        <v>Yes</v>
      </c>
    </row>
    <row r="221" spans="1:17" x14ac:dyDescent="0.25">
      <c r="A221" t="s">
        <v>30</v>
      </c>
      <c r="B221" t="str">
        <f t="shared" si="18"/>
        <v>P-220</v>
      </c>
      <c r="C221" t="s">
        <v>7</v>
      </c>
      <c r="D221">
        <v>2</v>
      </c>
      <c r="E221">
        <v>2</v>
      </c>
      <c r="F221">
        <v>110000</v>
      </c>
      <c r="G221" t="s">
        <v>10</v>
      </c>
      <c r="H221" t="s">
        <v>9</v>
      </c>
      <c r="I221" t="s">
        <v>9</v>
      </c>
      <c r="J221" t="s">
        <v>9</v>
      </c>
      <c r="K221" t="s">
        <v>9</v>
      </c>
      <c r="L221" t="s">
        <v>9</v>
      </c>
      <c r="M221" t="str">
        <f t="shared" si="19"/>
        <v>No</v>
      </c>
      <c r="N221" t="str">
        <f t="shared" si="20"/>
        <v>Yes</v>
      </c>
      <c r="O221" t="str">
        <f t="shared" si="21"/>
        <v>Yes</v>
      </c>
      <c r="P221" t="str">
        <f t="shared" si="22"/>
        <v>Yes</v>
      </c>
      <c r="Q221" t="str">
        <f t="shared" si="23"/>
        <v>Yes</v>
      </c>
    </row>
    <row r="222" spans="1:17" x14ac:dyDescent="0.25">
      <c r="A222" t="s">
        <v>30</v>
      </c>
      <c r="B222" t="str">
        <f t="shared" si="18"/>
        <v>P-221</v>
      </c>
      <c r="C222" t="s">
        <v>14</v>
      </c>
      <c r="D222">
        <v>4</v>
      </c>
      <c r="E222">
        <v>4</v>
      </c>
      <c r="F222">
        <v>200000</v>
      </c>
      <c r="G222" t="s">
        <v>10</v>
      </c>
      <c r="H222" t="s">
        <v>9</v>
      </c>
      <c r="I222" t="s">
        <v>9</v>
      </c>
      <c r="J222" t="s">
        <v>9</v>
      </c>
      <c r="K222" t="s">
        <v>9</v>
      </c>
      <c r="L222" t="s">
        <v>9</v>
      </c>
      <c r="M222" t="str">
        <f t="shared" si="19"/>
        <v>No</v>
      </c>
      <c r="N222" t="str">
        <f t="shared" si="20"/>
        <v>Yes</v>
      </c>
      <c r="O222" t="str">
        <f t="shared" si="21"/>
        <v>Yes</v>
      </c>
      <c r="P222" t="str">
        <f t="shared" si="22"/>
        <v>Yes</v>
      </c>
      <c r="Q222" t="str">
        <f t="shared" si="23"/>
        <v>Yes</v>
      </c>
    </row>
    <row r="223" spans="1:17" x14ac:dyDescent="0.25">
      <c r="A223" t="s">
        <v>30</v>
      </c>
      <c r="B223" t="str">
        <f t="shared" si="18"/>
        <v>P-222</v>
      </c>
      <c r="C223" t="s">
        <v>7</v>
      </c>
      <c r="D223">
        <v>2</v>
      </c>
      <c r="E223">
        <v>3</v>
      </c>
      <c r="F223">
        <v>110000</v>
      </c>
      <c r="G223" t="s">
        <v>9</v>
      </c>
      <c r="H223" t="s">
        <v>9</v>
      </c>
      <c r="I223" t="s">
        <v>9</v>
      </c>
      <c r="J223" t="s">
        <v>9</v>
      </c>
      <c r="K223" t="s">
        <v>9</v>
      </c>
      <c r="L223" t="s">
        <v>9</v>
      </c>
      <c r="M223" t="str">
        <f t="shared" si="19"/>
        <v>Yes</v>
      </c>
      <c r="N223" t="str">
        <f t="shared" si="20"/>
        <v>Yes</v>
      </c>
      <c r="O223" t="str">
        <f t="shared" si="21"/>
        <v>Yes</v>
      </c>
      <c r="P223" t="str">
        <f t="shared" si="22"/>
        <v>Yes</v>
      </c>
      <c r="Q223" t="str">
        <f t="shared" si="23"/>
        <v>Yes</v>
      </c>
    </row>
    <row r="224" spans="1:17" x14ac:dyDescent="0.25">
      <c r="A224" t="s">
        <v>30</v>
      </c>
      <c r="B224" t="str">
        <f t="shared" si="18"/>
        <v>P-223</v>
      </c>
      <c r="C224" t="s">
        <v>7</v>
      </c>
      <c r="D224">
        <v>2</v>
      </c>
      <c r="E224">
        <v>2</v>
      </c>
      <c r="F224">
        <v>100000</v>
      </c>
      <c r="G224" t="s">
        <v>10</v>
      </c>
      <c r="H224" t="s">
        <v>9</v>
      </c>
      <c r="I224" t="s">
        <v>9</v>
      </c>
      <c r="J224" t="s">
        <v>9</v>
      </c>
      <c r="K224" t="s">
        <v>9</v>
      </c>
      <c r="L224" t="s">
        <v>9</v>
      </c>
      <c r="M224" t="str">
        <f t="shared" si="19"/>
        <v>No</v>
      </c>
      <c r="N224" t="str">
        <f t="shared" si="20"/>
        <v>Yes</v>
      </c>
      <c r="O224" t="str">
        <f t="shared" si="21"/>
        <v>Yes</v>
      </c>
      <c r="P224" t="str">
        <f t="shared" si="22"/>
        <v>Yes</v>
      </c>
      <c r="Q224" t="str">
        <f t="shared" si="23"/>
        <v>Yes</v>
      </c>
    </row>
    <row r="225" spans="1:17" x14ac:dyDescent="0.25">
      <c r="A225" t="s">
        <v>30</v>
      </c>
      <c r="B225" t="str">
        <f t="shared" si="18"/>
        <v>P-224</v>
      </c>
      <c r="C225" t="s">
        <v>7</v>
      </c>
      <c r="D225">
        <v>2</v>
      </c>
      <c r="E225">
        <v>2</v>
      </c>
      <c r="F225">
        <v>110000</v>
      </c>
      <c r="G225" t="s">
        <v>10</v>
      </c>
      <c r="H225" t="s">
        <v>9</v>
      </c>
      <c r="I225" t="s">
        <v>9</v>
      </c>
      <c r="J225" t="s">
        <v>9</v>
      </c>
      <c r="K225" t="s">
        <v>9</v>
      </c>
      <c r="L225" t="s">
        <v>9</v>
      </c>
      <c r="M225" t="str">
        <f t="shared" si="19"/>
        <v>No</v>
      </c>
      <c r="N225" t="str">
        <f t="shared" si="20"/>
        <v>Yes</v>
      </c>
      <c r="O225" t="str">
        <f t="shared" si="21"/>
        <v>Yes</v>
      </c>
      <c r="P225" t="str">
        <f t="shared" si="22"/>
        <v>Yes</v>
      </c>
      <c r="Q225" t="str">
        <f t="shared" si="23"/>
        <v>Yes</v>
      </c>
    </row>
    <row r="226" spans="1:17" x14ac:dyDescent="0.25">
      <c r="A226" t="s">
        <v>30</v>
      </c>
      <c r="B226" t="str">
        <f t="shared" si="18"/>
        <v>P-225</v>
      </c>
      <c r="C226" t="s">
        <v>7</v>
      </c>
      <c r="D226">
        <v>1</v>
      </c>
      <c r="E226">
        <v>1</v>
      </c>
      <c r="F226">
        <v>28000</v>
      </c>
      <c r="G226" t="s">
        <v>10</v>
      </c>
      <c r="H226" t="s">
        <v>9</v>
      </c>
      <c r="I226" t="s">
        <v>10</v>
      </c>
      <c r="J226" t="s">
        <v>10</v>
      </c>
      <c r="K226" t="s">
        <v>9</v>
      </c>
      <c r="L226" t="s">
        <v>9</v>
      </c>
      <c r="M226" t="str">
        <f t="shared" si="19"/>
        <v>No</v>
      </c>
      <c r="N226" t="str">
        <f t="shared" si="20"/>
        <v>Yes</v>
      </c>
      <c r="O226" t="str">
        <f t="shared" si="21"/>
        <v>No</v>
      </c>
      <c r="P226" t="str">
        <f t="shared" si="22"/>
        <v>No</v>
      </c>
      <c r="Q226" t="str">
        <f t="shared" si="23"/>
        <v>Yes</v>
      </c>
    </row>
    <row r="227" spans="1:17" x14ac:dyDescent="0.25">
      <c r="A227" t="s">
        <v>30</v>
      </c>
      <c r="B227" t="str">
        <f t="shared" si="18"/>
        <v>P-226</v>
      </c>
      <c r="C227" t="s">
        <v>7</v>
      </c>
      <c r="D227">
        <v>2</v>
      </c>
      <c r="E227">
        <v>2</v>
      </c>
      <c r="F227">
        <v>35000</v>
      </c>
      <c r="G227" t="s">
        <v>10</v>
      </c>
      <c r="H227" t="s">
        <v>9</v>
      </c>
      <c r="I227" t="s">
        <v>10</v>
      </c>
      <c r="J227" t="s">
        <v>10</v>
      </c>
      <c r="K227" t="s">
        <v>9</v>
      </c>
      <c r="L227" t="s">
        <v>9</v>
      </c>
      <c r="M227" t="str">
        <f t="shared" si="19"/>
        <v>No</v>
      </c>
      <c r="N227" t="str">
        <f t="shared" si="20"/>
        <v>Yes</v>
      </c>
      <c r="O227" t="str">
        <f t="shared" si="21"/>
        <v>No</v>
      </c>
      <c r="P227" t="str">
        <f t="shared" si="22"/>
        <v>No</v>
      </c>
      <c r="Q227" t="str">
        <f t="shared" si="23"/>
        <v>Yes</v>
      </c>
    </row>
    <row r="228" spans="1:17" x14ac:dyDescent="0.25">
      <c r="A228" t="s">
        <v>30</v>
      </c>
      <c r="B228" t="str">
        <f t="shared" si="18"/>
        <v>P-227</v>
      </c>
      <c r="C228" t="s">
        <v>7</v>
      </c>
      <c r="D228">
        <v>1</v>
      </c>
      <c r="E228">
        <v>1</v>
      </c>
      <c r="F228">
        <v>79000</v>
      </c>
      <c r="G228" t="s">
        <v>10</v>
      </c>
      <c r="H228" t="s">
        <v>9</v>
      </c>
      <c r="I228" t="s">
        <v>9</v>
      </c>
      <c r="J228" t="s">
        <v>9</v>
      </c>
      <c r="K228" t="s">
        <v>9</v>
      </c>
      <c r="L228" t="s">
        <v>9</v>
      </c>
      <c r="M228" t="str">
        <f t="shared" si="19"/>
        <v>No</v>
      </c>
      <c r="N228" t="str">
        <f t="shared" si="20"/>
        <v>Yes</v>
      </c>
      <c r="O228" t="str">
        <f t="shared" si="21"/>
        <v>Yes</v>
      </c>
      <c r="P228" t="str">
        <f t="shared" si="22"/>
        <v>Yes</v>
      </c>
      <c r="Q228" t="str">
        <f t="shared" si="23"/>
        <v>Yes</v>
      </c>
    </row>
    <row r="229" spans="1:17" x14ac:dyDescent="0.25">
      <c r="A229" t="s">
        <v>30</v>
      </c>
      <c r="B229" t="str">
        <f t="shared" si="18"/>
        <v>P-228</v>
      </c>
      <c r="C229" t="s">
        <v>7</v>
      </c>
      <c r="D229">
        <v>2</v>
      </c>
      <c r="E229">
        <v>2</v>
      </c>
      <c r="F229">
        <v>99000</v>
      </c>
      <c r="G229" t="s">
        <v>10</v>
      </c>
      <c r="H229" t="s">
        <v>9</v>
      </c>
      <c r="I229" t="s">
        <v>9</v>
      </c>
      <c r="J229" t="s">
        <v>9</v>
      </c>
      <c r="K229" t="s">
        <v>9</v>
      </c>
      <c r="L229" t="s">
        <v>9</v>
      </c>
      <c r="M229" t="str">
        <f t="shared" si="19"/>
        <v>No</v>
      </c>
      <c r="N229" t="str">
        <f t="shared" si="20"/>
        <v>Yes</v>
      </c>
      <c r="O229" t="str">
        <f t="shared" si="21"/>
        <v>Yes</v>
      </c>
      <c r="P229" t="str">
        <f t="shared" si="22"/>
        <v>Yes</v>
      </c>
      <c r="Q229" t="str">
        <f t="shared" si="23"/>
        <v>Yes</v>
      </c>
    </row>
    <row r="230" spans="1:17" x14ac:dyDescent="0.25">
      <c r="A230" t="s">
        <v>30</v>
      </c>
      <c r="B230" t="str">
        <f t="shared" si="18"/>
        <v>P-229</v>
      </c>
      <c r="C230" t="s">
        <v>7</v>
      </c>
      <c r="D230">
        <v>3</v>
      </c>
      <c r="E230">
        <v>3</v>
      </c>
      <c r="F230">
        <v>230000</v>
      </c>
      <c r="G230" t="s">
        <v>9</v>
      </c>
      <c r="H230" t="s">
        <v>9</v>
      </c>
      <c r="I230" t="s">
        <v>9</v>
      </c>
      <c r="J230" t="s">
        <v>9</v>
      </c>
      <c r="K230" t="s">
        <v>9</v>
      </c>
      <c r="L230" t="s">
        <v>9</v>
      </c>
      <c r="M230" t="str">
        <f t="shared" si="19"/>
        <v>Yes</v>
      </c>
      <c r="N230" t="str">
        <f t="shared" si="20"/>
        <v>Yes</v>
      </c>
      <c r="O230" t="str">
        <f t="shared" si="21"/>
        <v>Yes</v>
      </c>
      <c r="P230" t="str">
        <f t="shared" si="22"/>
        <v>Yes</v>
      </c>
      <c r="Q230" t="str">
        <f t="shared" si="23"/>
        <v>Yes</v>
      </c>
    </row>
    <row r="231" spans="1:17" x14ac:dyDescent="0.25">
      <c r="A231" t="s">
        <v>30</v>
      </c>
      <c r="B231" t="str">
        <f t="shared" si="18"/>
        <v>P-230</v>
      </c>
      <c r="C231" t="s">
        <v>7</v>
      </c>
      <c r="D231">
        <v>3</v>
      </c>
      <c r="E231">
        <v>3</v>
      </c>
      <c r="F231">
        <v>160000</v>
      </c>
      <c r="G231" t="s">
        <v>10</v>
      </c>
      <c r="H231" t="s">
        <v>9</v>
      </c>
      <c r="I231" t="s">
        <v>9</v>
      </c>
      <c r="J231" t="s">
        <v>9</v>
      </c>
      <c r="K231" t="s">
        <v>9</v>
      </c>
      <c r="L231" t="s">
        <v>9</v>
      </c>
      <c r="M231" t="str">
        <f t="shared" si="19"/>
        <v>No</v>
      </c>
      <c r="N231" t="str">
        <f t="shared" si="20"/>
        <v>Yes</v>
      </c>
      <c r="O231" t="str">
        <f t="shared" si="21"/>
        <v>Yes</v>
      </c>
      <c r="P231" t="str">
        <f t="shared" si="22"/>
        <v>Yes</v>
      </c>
      <c r="Q231" t="str">
        <f t="shared" si="23"/>
        <v>Yes</v>
      </c>
    </row>
    <row r="232" spans="1:17" x14ac:dyDescent="0.25">
      <c r="A232" t="s">
        <v>30</v>
      </c>
      <c r="B232" t="str">
        <f t="shared" si="18"/>
        <v>P-231</v>
      </c>
      <c r="C232" t="s">
        <v>7</v>
      </c>
      <c r="D232">
        <v>1</v>
      </c>
      <c r="E232">
        <v>1</v>
      </c>
      <c r="F232">
        <v>38000</v>
      </c>
      <c r="G232" t="s">
        <v>10</v>
      </c>
      <c r="H232" t="s">
        <v>9</v>
      </c>
      <c r="I232" t="s">
        <v>9</v>
      </c>
      <c r="J232" t="s">
        <v>9</v>
      </c>
      <c r="K232" t="s">
        <v>9</v>
      </c>
      <c r="L232" t="s">
        <v>9</v>
      </c>
      <c r="M232" t="str">
        <f t="shared" si="19"/>
        <v>No</v>
      </c>
      <c r="N232" t="str">
        <f t="shared" si="20"/>
        <v>Yes</v>
      </c>
      <c r="O232" t="str">
        <f t="shared" si="21"/>
        <v>Yes</v>
      </c>
      <c r="P232" t="str">
        <f t="shared" si="22"/>
        <v>Yes</v>
      </c>
      <c r="Q232" t="str">
        <f t="shared" si="23"/>
        <v>Yes</v>
      </c>
    </row>
    <row r="233" spans="1:17" x14ac:dyDescent="0.25">
      <c r="A233" t="s">
        <v>30</v>
      </c>
      <c r="B233" t="str">
        <f t="shared" si="18"/>
        <v>P-232</v>
      </c>
      <c r="C233" t="s">
        <v>7</v>
      </c>
      <c r="D233">
        <v>3</v>
      </c>
      <c r="E233">
        <v>4</v>
      </c>
      <c r="F233">
        <v>160000</v>
      </c>
      <c r="G233" t="s">
        <v>10</v>
      </c>
      <c r="H233" t="s">
        <v>9</v>
      </c>
      <c r="I233" t="s">
        <v>9</v>
      </c>
      <c r="J233" t="s">
        <v>9</v>
      </c>
      <c r="K233" t="s">
        <v>9</v>
      </c>
      <c r="L233" t="s">
        <v>9</v>
      </c>
      <c r="M233" t="str">
        <f t="shared" si="19"/>
        <v>No</v>
      </c>
      <c r="N233" t="str">
        <f t="shared" si="20"/>
        <v>Yes</v>
      </c>
      <c r="O233" t="str">
        <f t="shared" si="21"/>
        <v>Yes</v>
      </c>
      <c r="P233" t="str">
        <f t="shared" si="22"/>
        <v>Yes</v>
      </c>
      <c r="Q233" t="str">
        <f t="shared" si="23"/>
        <v>Yes</v>
      </c>
    </row>
    <row r="234" spans="1:17" x14ac:dyDescent="0.25">
      <c r="A234" t="s">
        <v>30</v>
      </c>
      <c r="B234" t="str">
        <f t="shared" si="18"/>
        <v>P-233</v>
      </c>
      <c r="C234" t="s">
        <v>7</v>
      </c>
      <c r="D234">
        <v>3</v>
      </c>
      <c r="E234">
        <v>4</v>
      </c>
      <c r="F234">
        <v>120000</v>
      </c>
      <c r="G234" t="s">
        <v>10</v>
      </c>
      <c r="H234" t="s">
        <v>9</v>
      </c>
      <c r="I234" t="s">
        <v>9</v>
      </c>
      <c r="J234" t="s">
        <v>9</v>
      </c>
      <c r="K234" t="s">
        <v>9</v>
      </c>
      <c r="L234" t="s">
        <v>9</v>
      </c>
      <c r="M234" t="str">
        <f t="shared" si="19"/>
        <v>No</v>
      </c>
      <c r="N234" t="str">
        <f t="shared" si="20"/>
        <v>Yes</v>
      </c>
      <c r="O234" t="str">
        <f t="shared" si="21"/>
        <v>Yes</v>
      </c>
      <c r="P234" t="str">
        <f t="shared" si="22"/>
        <v>Yes</v>
      </c>
      <c r="Q234" t="str">
        <f t="shared" si="23"/>
        <v>Yes</v>
      </c>
    </row>
    <row r="235" spans="1:17" x14ac:dyDescent="0.25">
      <c r="A235" t="s">
        <v>30</v>
      </c>
      <c r="B235" t="str">
        <f t="shared" si="18"/>
        <v>P-234</v>
      </c>
      <c r="C235" t="s">
        <v>7</v>
      </c>
      <c r="D235">
        <v>3</v>
      </c>
      <c r="E235">
        <v>3</v>
      </c>
      <c r="F235">
        <v>60000</v>
      </c>
      <c r="G235" t="s">
        <v>10</v>
      </c>
      <c r="H235" t="s">
        <v>9</v>
      </c>
      <c r="I235" t="s">
        <v>9</v>
      </c>
      <c r="J235" t="s">
        <v>10</v>
      </c>
      <c r="K235" t="s">
        <v>9</v>
      </c>
      <c r="L235" t="s">
        <v>9</v>
      </c>
      <c r="M235" t="str">
        <f t="shared" si="19"/>
        <v>No</v>
      </c>
      <c r="N235" t="str">
        <f t="shared" si="20"/>
        <v>Yes</v>
      </c>
      <c r="O235" t="str">
        <f t="shared" si="21"/>
        <v>Yes</v>
      </c>
      <c r="P235" t="str">
        <f t="shared" si="22"/>
        <v>No</v>
      </c>
      <c r="Q235" t="str">
        <f t="shared" si="23"/>
        <v>Yes</v>
      </c>
    </row>
    <row r="236" spans="1:17" x14ac:dyDescent="0.25">
      <c r="A236" t="s">
        <v>30</v>
      </c>
      <c r="B236" t="str">
        <f t="shared" si="18"/>
        <v>P-235</v>
      </c>
      <c r="C236" t="s">
        <v>7</v>
      </c>
      <c r="D236">
        <v>2</v>
      </c>
      <c r="E236">
        <v>2</v>
      </c>
      <c r="F236">
        <v>120000</v>
      </c>
      <c r="G236" t="s">
        <v>10</v>
      </c>
      <c r="H236" t="s">
        <v>9</v>
      </c>
      <c r="I236" t="s">
        <v>9</v>
      </c>
      <c r="J236" t="s">
        <v>9</v>
      </c>
      <c r="K236" t="s">
        <v>9</v>
      </c>
      <c r="L236" t="s">
        <v>9</v>
      </c>
      <c r="M236" t="str">
        <f t="shared" si="19"/>
        <v>No</v>
      </c>
      <c r="N236" t="str">
        <f t="shared" si="20"/>
        <v>Yes</v>
      </c>
      <c r="O236" t="str">
        <f t="shared" si="21"/>
        <v>Yes</v>
      </c>
      <c r="P236" t="str">
        <f t="shared" si="22"/>
        <v>Yes</v>
      </c>
      <c r="Q236" t="str">
        <f t="shared" si="23"/>
        <v>Yes</v>
      </c>
    </row>
    <row r="237" spans="1:17" x14ac:dyDescent="0.25">
      <c r="A237" t="s">
        <v>33</v>
      </c>
      <c r="B237" t="str">
        <f t="shared" si="18"/>
        <v>P-236</v>
      </c>
      <c r="C237" t="s">
        <v>7</v>
      </c>
      <c r="D237">
        <v>1</v>
      </c>
      <c r="E237">
        <v>1</v>
      </c>
      <c r="F237">
        <v>19000</v>
      </c>
      <c r="G237" t="s">
        <v>10</v>
      </c>
      <c r="H237" t="s">
        <v>9</v>
      </c>
      <c r="I237" t="s">
        <v>10</v>
      </c>
      <c r="J237" t="s">
        <v>10</v>
      </c>
      <c r="K237" t="s">
        <v>9</v>
      </c>
      <c r="L237" t="s">
        <v>9</v>
      </c>
      <c r="M237" t="str">
        <f t="shared" si="19"/>
        <v>No</v>
      </c>
      <c r="N237" t="str">
        <f t="shared" si="20"/>
        <v>Yes</v>
      </c>
      <c r="O237" t="str">
        <f t="shared" si="21"/>
        <v>No</v>
      </c>
      <c r="P237" t="str">
        <f t="shared" si="22"/>
        <v>No</v>
      </c>
      <c r="Q237" t="str">
        <f t="shared" si="23"/>
        <v>Yes</v>
      </c>
    </row>
    <row r="238" spans="1:17" x14ac:dyDescent="0.25">
      <c r="A238" t="s">
        <v>33</v>
      </c>
      <c r="B238" t="str">
        <f t="shared" si="18"/>
        <v>P-237</v>
      </c>
      <c r="C238" t="s">
        <v>7</v>
      </c>
      <c r="D238">
        <v>3</v>
      </c>
      <c r="E238">
        <v>2</v>
      </c>
      <c r="F238">
        <v>40000</v>
      </c>
      <c r="G238" t="s">
        <v>10</v>
      </c>
      <c r="H238" t="s">
        <v>9</v>
      </c>
      <c r="I238" t="s">
        <v>10</v>
      </c>
      <c r="J238" t="s">
        <v>10</v>
      </c>
      <c r="K238" t="s">
        <v>9</v>
      </c>
      <c r="L238" t="s">
        <v>9</v>
      </c>
      <c r="M238" t="str">
        <f t="shared" si="19"/>
        <v>No</v>
      </c>
      <c r="N238" t="str">
        <f t="shared" si="20"/>
        <v>Yes</v>
      </c>
      <c r="O238" t="str">
        <f t="shared" si="21"/>
        <v>No</v>
      </c>
      <c r="P238" t="str">
        <f t="shared" si="22"/>
        <v>No</v>
      </c>
      <c r="Q238" t="str">
        <f t="shared" si="23"/>
        <v>Yes</v>
      </c>
    </row>
    <row r="239" spans="1:17" x14ac:dyDescent="0.25">
      <c r="A239" t="s">
        <v>33</v>
      </c>
      <c r="B239" t="str">
        <f t="shared" si="18"/>
        <v>P-238</v>
      </c>
      <c r="C239" t="s">
        <v>7</v>
      </c>
      <c r="D239">
        <v>3</v>
      </c>
      <c r="E239">
        <v>2</v>
      </c>
      <c r="F239">
        <v>50000</v>
      </c>
      <c r="G239" t="s">
        <v>10</v>
      </c>
      <c r="H239" t="s">
        <v>9</v>
      </c>
      <c r="I239" t="s">
        <v>10</v>
      </c>
      <c r="J239" t="s">
        <v>10</v>
      </c>
      <c r="K239" t="s">
        <v>9</v>
      </c>
      <c r="L239" t="s">
        <v>9</v>
      </c>
      <c r="M239" t="str">
        <f t="shared" si="19"/>
        <v>No</v>
      </c>
      <c r="N239" t="str">
        <f t="shared" si="20"/>
        <v>Yes</v>
      </c>
      <c r="O239" t="str">
        <f t="shared" si="21"/>
        <v>No</v>
      </c>
      <c r="P239" t="str">
        <f t="shared" si="22"/>
        <v>No</v>
      </c>
      <c r="Q239" t="str">
        <f t="shared" si="23"/>
        <v>Yes</v>
      </c>
    </row>
    <row r="240" spans="1:17" x14ac:dyDescent="0.25">
      <c r="A240" t="s">
        <v>33</v>
      </c>
      <c r="B240" t="str">
        <f t="shared" si="18"/>
        <v>P-239</v>
      </c>
      <c r="C240" t="s">
        <v>7</v>
      </c>
      <c r="D240">
        <v>3</v>
      </c>
      <c r="E240">
        <v>2</v>
      </c>
      <c r="F240">
        <v>48000</v>
      </c>
      <c r="G240" t="s">
        <v>10</v>
      </c>
      <c r="H240" t="s">
        <v>9</v>
      </c>
      <c r="I240" t="s">
        <v>10</v>
      </c>
      <c r="J240" t="s">
        <v>10</v>
      </c>
      <c r="K240" t="s">
        <v>9</v>
      </c>
      <c r="L240" t="s">
        <v>9</v>
      </c>
      <c r="M240" t="str">
        <f t="shared" si="19"/>
        <v>No</v>
      </c>
      <c r="N240" t="str">
        <f t="shared" si="20"/>
        <v>Yes</v>
      </c>
      <c r="O240" t="str">
        <f t="shared" si="21"/>
        <v>No</v>
      </c>
      <c r="P240" t="str">
        <f t="shared" si="22"/>
        <v>No</v>
      </c>
      <c r="Q240" t="str">
        <f t="shared" si="23"/>
        <v>Yes</v>
      </c>
    </row>
    <row r="241" spans="1:17" x14ac:dyDescent="0.25">
      <c r="A241" t="s">
        <v>33</v>
      </c>
      <c r="B241" t="str">
        <f t="shared" si="18"/>
        <v>P-240</v>
      </c>
      <c r="C241" t="s">
        <v>7</v>
      </c>
      <c r="D241">
        <v>4</v>
      </c>
      <c r="E241">
        <v>3</v>
      </c>
      <c r="F241">
        <v>200000</v>
      </c>
      <c r="G241" t="s">
        <v>9</v>
      </c>
      <c r="H241" t="s">
        <v>9</v>
      </c>
      <c r="I241" t="s">
        <v>10</v>
      </c>
      <c r="J241" t="s">
        <v>10</v>
      </c>
      <c r="K241" t="s">
        <v>9</v>
      </c>
      <c r="L241" t="s">
        <v>9</v>
      </c>
      <c r="M241" t="str">
        <f t="shared" si="19"/>
        <v>Yes</v>
      </c>
      <c r="N241" t="str">
        <f t="shared" si="20"/>
        <v>Yes</v>
      </c>
      <c r="O241" t="str">
        <f t="shared" si="21"/>
        <v>No</v>
      </c>
      <c r="P241" t="str">
        <f t="shared" si="22"/>
        <v>No</v>
      </c>
      <c r="Q241" t="str">
        <f t="shared" si="23"/>
        <v>Yes</v>
      </c>
    </row>
    <row r="242" spans="1:17" x14ac:dyDescent="0.25">
      <c r="A242" t="s">
        <v>33</v>
      </c>
      <c r="B242" t="str">
        <f t="shared" si="18"/>
        <v>P-241</v>
      </c>
      <c r="C242" t="s">
        <v>7</v>
      </c>
      <c r="D242">
        <v>1</v>
      </c>
      <c r="E242">
        <v>1</v>
      </c>
      <c r="F242">
        <v>21000</v>
      </c>
      <c r="G242" t="s">
        <v>10</v>
      </c>
      <c r="H242" t="s">
        <v>9</v>
      </c>
      <c r="I242" t="s">
        <v>10</v>
      </c>
      <c r="J242" t="s">
        <v>10</v>
      </c>
      <c r="K242" t="s">
        <v>9</v>
      </c>
      <c r="L242" t="s">
        <v>9</v>
      </c>
      <c r="M242" t="str">
        <f t="shared" si="19"/>
        <v>No</v>
      </c>
      <c r="N242" t="str">
        <f t="shared" si="20"/>
        <v>Yes</v>
      </c>
      <c r="O242" t="str">
        <f t="shared" si="21"/>
        <v>No</v>
      </c>
      <c r="P242" t="str">
        <f t="shared" si="22"/>
        <v>No</v>
      </c>
      <c r="Q242" t="str">
        <f t="shared" si="23"/>
        <v>Yes</v>
      </c>
    </row>
    <row r="243" spans="1:17" x14ac:dyDescent="0.25">
      <c r="A243" t="s">
        <v>33</v>
      </c>
      <c r="B243" t="str">
        <f t="shared" si="18"/>
        <v>P-242</v>
      </c>
      <c r="C243" t="s">
        <v>7</v>
      </c>
      <c r="D243">
        <v>2</v>
      </c>
      <c r="E243">
        <v>2</v>
      </c>
      <c r="F243">
        <v>30000</v>
      </c>
      <c r="G243" t="s">
        <v>10</v>
      </c>
      <c r="H243" t="s">
        <v>9</v>
      </c>
      <c r="I243" t="s">
        <v>10</v>
      </c>
      <c r="J243" t="s">
        <v>10</v>
      </c>
      <c r="K243" t="s">
        <v>9</v>
      </c>
      <c r="L243" t="s">
        <v>9</v>
      </c>
      <c r="M243" t="str">
        <f t="shared" si="19"/>
        <v>No</v>
      </c>
      <c r="N243" t="str">
        <f t="shared" si="20"/>
        <v>Yes</v>
      </c>
      <c r="O243" t="str">
        <f t="shared" si="21"/>
        <v>No</v>
      </c>
      <c r="P243" t="str">
        <f t="shared" si="22"/>
        <v>No</v>
      </c>
      <c r="Q243" t="str">
        <f t="shared" si="23"/>
        <v>Yes</v>
      </c>
    </row>
    <row r="244" spans="1:17" x14ac:dyDescent="0.25">
      <c r="A244" t="s">
        <v>33</v>
      </c>
      <c r="B244" t="str">
        <f t="shared" si="18"/>
        <v>P-243</v>
      </c>
      <c r="C244" t="s">
        <v>7</v>
      </c>
      <c r="D244">
        <v>2</v>
      </c>
      <c r="E244">
        <v>2</v>
      </c>
      <c r="F244">
        <v>40000</v>
      </c>
      <c r="G244" t="s">
        <v>10</v>
      </c>
      <c r="H244" t="s">
        <v>9</v>
      </c>
      <c r="I244" t="s">
        <v>10</v>
      </c>
      <c r="J244" t="s">
        <v>10</v>
      </c>
      <c r="K244" t="s">
        <v>9</v>
      </c>
      <c r="L244" t="s">
        <v>9</v>
      </c>
      <c r="M244" t="str">
        <f t="shared" si="19"/>
        <v>No</v>
      </c>
      <c r="N244" t="str">
        <f t="shared" si="20"/>
        <v>Yes</v>
      </c>
      <c r="O244" t="str">
        <f t="shared" si="21"/>
        <v>No</v>
      </c>
      <c r="P244" t="str">
        <f t="shared" si="22"/>
        <v>No</v>
      </c>
      <c r="Q244" t="str">
        <f t="shared" si="23"/>
        <v>Yes</v>
      </c>
    </row>
    <row r="245" spans="1:17" x14ac:dyDescent="0.25">
      <c r="A245" t="s">
        <v>34</v>
      </c>
      <c r="B245" t="str">
        <f t="shared" si="18"/>
        <v>P-244</v>
      </c>
      <c r="C245" t="s">
        <v>7</v>
      </c>
      <c r="D245">
        <v>2</v>
      </c>
      <c r="E245">
        <v>2</v>
      </c>
      <c r="F245">
        <v>58950</v>
      </c>
      <c r="G245" t="s">
        <v>10</v>
      </c>
      <c r="H245" t="s">
        <v>9</v>
      </c>
      <c r="I245" t="s">
        <v>10</v>
      </c>
      <c r="J245" t="s">
        <v>10</v>
      </c>
      <c r="K245" t="s">
        <v>9</v>
      </c>
      <c r="L245" t="s">
        <v>9</v>
      </c>
      <c r="M245" t="str">
        <f t="shared" si="19"/>
        <v>No</v>
      </c>
      <c r="N245" t="str">
        <f t="shared" si="20"/>
        <v>Yes</v>
      </c>
      <c r="O245" t="str">
        <f t="shared" si="21"/>
        <v>No</v>
      </c>
      <c r="P245" t="str">
        <f t="shared" si="22"/>
        <v>No</v>
      </c>
      <c r="Q245" t="str">
        <f t="shared" si="23"/>
        <v>Yes</v>
      </c>
    </row>
    <row r="246" spans="1:17" x14ac:dyDescent="0.25">
      <c r="A246" t="s">
        <v>34</v>
      </c>
      <c r="B246" t="str">
        <f t="shared" si="18"/>
        <v>P-245</v>
      </c>
      <c r="C246" t="s">
        <v>7</v>
      </c>
      <c r="D246">
        <v>4</v>
      </c>
      <c r="E246">
        <v>6</v>
      </c>
      <c r="F246">
        <v>180000</v>
      </c>
      <c r="G246" t="s">
        <v>10</v>
      </c>
      <c r="H246" t="s">
        <v>9</v>
      </c>
      <c r="I246" t="s">
        <v>10</v>
      </c>
      <c r="J246" t="s">
        <v>10</v>
      </c>
      <c r="K246" t="s">
        <v>9</v>
      </c>
      <c r="L246" t="s">
        <v>9</v>
      </c>
      <c r="M246" t="str">
        <f t="shared" si="19"/>
        <v>No</v>
      </c>
      <c r="N246" t="str">
        <f t="shared" si="20"/>
        <v>Yes</v>
      </c>
      <c r="O246" t="str">
        <f t="shared" si="21"/>
        <v>No</v>
      </c>
      <c r="P246" t="str">
        <f t="shared" si="22"/>
        <v>No</v>
      </c>
      <c r="Q246" t="str">
        <f t="shared" si="23"/>
        <v>Yes</v>
      </c>
    </row>
    <row r="247" spans="1:17" x14ac:dyDescent="0.25">
      <c r="A247" t="s">
        <v>34</v>
      </c>
      <c r="B247" t="str">
        <f t="shared" si="18"/>
        <v>P-246</v>
      </c>
      <c r="C247" t="s">
        <v>7</v>
      </c>
      <c r="D247">
        <v>1</v>
      </c>
      <c r="E247">
        <v>1</v>
      </c>
      <c r="F247">
        <v>38950</v>
      </c>
      <c r="G247" t="s">
        <v>10</v>
      </c>
      <c r="H247" t="s">
        <v>9</v>
      </c>
      <c r="I247" t="s">
        <v>9</v>
      </c>
      <c r="J247" t="s">
        <v>9</v>
      </c>
      <c r="K247" t="s">
        <v>9</v>
      </c>
      <c r="L247" t="s">
        <v>9</v>
      </c>
      <c r="M247" t="str">
        <f t="shared" si="19"/>
        <v>No</v>
      </c>
      <c r="N247" t="str">
        <f t="shared" si="20"/>
        <v>Yes</v>
      </c>
      <c r="O247" t="str">
        <f t="shared" si="21"/>
        <v>Yes</v>
      </c>
      <c r="P247" t="str">
        <f t="shared" si="22"/>
        <v>Yes</v>
      </c>
      <c r="Q247" t="str">
        <f t="shared" si="23"/>
        <v>Yes</v>
      </c>
    </row>
    <row r="248" spans="1:17" x14ac:dyDescent="0.25">
      <c r="A248" t="s">
        <v>34</v>
      </c>
      <c r="B248" t="str">
        <f t="shared" si="18"/>
        <v>P-247</v>
      </c>
      <c r="C248" t="s">
        <v>7</v>
      </c>
      <c r="D248">
        <v>2</v>
      </c>
      <c r="E248">
        <v>2</v>
      </c>
      <c r="F248">
        <v>60500</v>
      </c>
      <c r="G248" t="s">
        <v>10</v>
      </c>
      <c r="H248" t="s">
        <v>9</v>
      </c>
      <c r="I248" t="s">
        <v>9</v>
      </c>
      <c r="J248" t="s">
        <v>9</v>
      </c>
      <c r="K248" t="s">
        <v>9</v>
      </c>
      <c r="L248" t="s">
        <v>9</v>
      </c>
      <c r="M248" t="str">
        <f t="shared" si="19"/>
        <v>No</v>
      </c>
      <c r="N248" t="str">
        <f t="shared" si="20"/>
        <v>Yes</v>
      </c>
      <c r="O248" t="str">
        <f t="shared" si="21"/>
        <v>Yes</v>
      </c>
      <c r="P248" t="str">
        <f t="shared" si="22"/>
        <v>Yes</v>
      </c>
      <c r="Q248" t="str">
        <f t="shared" si="23"/>
        <v>Yes</v>
      </c>
    </row>
    <row r="249" spans="1:17" x14ac:dyDescent="0.25">
      <c r="A249" t="s">
        <v>34</v>
      </c>
      <c r="B249" t="str">
        <f t="shared" si="18"/>
        <v>P-248</v>
      </c>
      <c r="C249" t="s">
        <v>7</v>
      </c>
      <c r="D249">
        <v>2</v>
      </c>
      <c r="E249">
        <v>2</v>
      </c>
      <c r="F249">
        <v>65000</v>
      </c>
      <c r="G249" t="s">
        <v>10</v>
      </c>
      <c r="H249" t="s">
        <v>9</v>
      </c>
      <c r="I249" t="s">
        <v>9</v>
      </c>
      <c r="J249" t="s">
        <v>9</v>
      </c>
      <c r="K249" t="s">
        <v>9</v>
      </c>
      <c r="L249" t="s">
        <v>9</v>
      </c>
      <c r="M249" t="str">
        <f t="shared" si="19"/>
        <v>No</v>
      </c>
      <c r="N249" t="str">
        <f t="shared" si="20"/>
        <v>Yes</v>
      </c>
      <c r="O249" t="str">
        <f t="shared" si="21"/>
        <v>Yes</v>
      </c>
      <c r="P249" t="str">
        <f t="shared" si="22"/>
        <v>Yes</v>
      </c>
      <c r="Q249" t="str">
        <f t="shared" si="23"/>
        <v>Yes</v>
      </c>
    </row>
    <row r="250" spans="1:17" x14ac:dyDescent="0.25">
      <c r="A250" t="s">
        <v>34</v>
      </c>
      <c r="B250" t="str">
        <f t="shared" si="18"/>
        <v>P-249</v>
      </c>
      <c r="C250" t="s">
        <v>7</v>
      </c>
      <c r="D250">
        <v>2</v>
      </c>
      <c r="E250">
        <v>1</v>
      </c>
      <c r="F250">
        <v>60000</v>
      </c>
      <c r="G250" t="s">
        <v>10</v>
      </c>
      <c r="H250" t="s">
        <v>9</v>
      </c>
      <c r="I250" t="s">
        <v>10</v>
      </c>
      <c r="J250" t="s">
        <v>10</v>
      </c>
      <c r="K250" t="s">
        <v>9</v>
      </c>
      <c r="L250" t="s">
        <v>9</v>
      </c>
      <c r="M250" t="str">
        <f t="shared" si="19"/>
        <v>No</v>
      </c>
      <c r="N250" t="str">
        <f t="shared" si="20"/>
        <v>Yes</v>
      </c>
      <c r="O250" t="str">
        <f t="shared" si="21"/>
        <v>No</v>
      </c>
      <c r="P250" t="str">
        <f t="shared" si="22"/>
        <v>No</v>
      </c>
      <c r="Q250" t="str">
        <f t="shared" si="23"/>
        <v>Yes</v>
      </c>
    </row>
    <row r="251" spans="1:17" x14ac:dyDescent="0.25">
      <c r="A251" t="s">
        <v>34</v>
      </c>
      <c r="B251" t="str">
        <f t="shared" si="18"/>
        <v>P-250</v>
      </c>
      <c r="C251" t="s">
        <v>14</v>
      </c>
      <c r="D251">
        <v>5</v>
      </c>
      <c r="E251">
        <v>5</v>
      </c>
      <c r="F251">
        <v>470000</v>
      </c>
      <c r="G251" t="s">
        <v>10</v>
      </c>
      <c r="H251" t="s">
        <v>9</v>
      </c>
      <c r="I251" t="s">
        <v>10</v>
      </c>
      <c r="J251" t="s">
        <v>10</v>
      </c>
      <c r="K251" t="s">
        <v>9</v>
      </c>
      <c r="L251" t="s">
        <v>9</v>
      </c>
      <c r="M251" t="str">
        <f t="shared" si="19"/>
        <v>No</v>
      </c>
      <c r="N251" t="str">
        <f t="shared" si="20"/>
        <v>Yes</v>
      </c>
      <c r="O251" t="str">
        <f t="shared" si="21"/>
        <v>No</v>
      </c>
      <c r="P251" t="str">
        <f t="shared" si="22"/>
        <v>No</v>
      </c>
      <c r="Q251" t="str">
        <f t="shared" si="23"/>
        <v>Yes</v>
      </c>
    </row>
    <row r="252" spans="1:17" x14ac:dyDescent="0.25">
      <c r="A252" t="s">
        <v>34</v>
      </c>
      <c r="B252" t="str">
        <f t="shared" si="18"/>
        <v>P-251</v>
      </c>
      <c r="C252" t="s">
        <v>7</v>
      </c>
      <c r="D252">
        <v>3</v>
      </c>
      <c r="E252">
        <v>2</v>
      </c>
      <c r="F252">
        <v>80000</v>
      </c>
      <c r="G252" t="s">
        <v>10</v>
      </c>
      <c r="H252" t="s">
        <v>9</v>
      </c>
      <c r="I252" t="s">
        <v>9</v>
      </c>
      <c r="J252" t="s">
        <v>10</v>
      </c>
      <c r="K252" t="s">
        <v>9</v>
      </c>
      <c r="L252" t="s">
        <v>9</v>
      </c>
      <c r="M252" t="str">
        <f t="shared" si="19"/>
        <v>No</v>
      </c>
      <c r="N252" t="str">
        <f t="shared" si="20"/>
        <v>Yes</v>
      </c>
      <c r="O252" t="str">
        <f t="shared" si="21"/>
        <v>Yes</v>
      </c>
      <c r="P252" t="str">
        <f t="shared" si="22"/>
        <v>No</v>
      </c>
      <c r="Q252" t="str">
        <f t="shared" si="23"/>
        <v>Yes</v>
      </c>
    </row>
    <row r="253" spans="1:17" x14ac:dyDescent="0.25">
      <c r="A253" t="s">
        <v>56</v>
      </c>
      <c r="B253" t="str">
        <f t="shared" si="18"/>
        <v>P-252</v>
      </c>
      <c r="C253" t="s">
        <v>7</v>
      </c>
      <c r="D253">
        <v>2</v>
      </c>
      <c r="E253">
        <v>2</v>
      </c>
      <c r="F253">
        <v>15000</v>
      </c>
      <c r="G253" t="s">
        <v>9</v>
      </c>
      <c r="H253" t="s">
        <v>9</v>
      </c>
      <c r="I253" t="s">
        <v>9</v>
      </c>
      <c r="J253" t="s">
        <v>9</v>
      </c>
      <c r="K253" t="s">
        <v>9</v>
      </c>
      <c r="L253" t="s">
        <v>9</v>
      </c>
      <c r="M253" t="str">
        <f t="shared" si="19"/>
        <v>Yes</v>
      </c>
      <c r="N253" t="str">
        <f t="shared" si="20"/>
        <v>Yes</v>
      </c>
      <c r="O253" t="str">
        <f t="shared" si="21"/>
        <v>Yes</v>
      </c>
      <c r="P253" t="str">
        <f t="shared" si="22"/>
        <v>Yes</v>
      </c>
      <c r="Q253" t="str">
        <f t="shared" si="23"/>
        <v>Yes</v>
      </c>
    </row>
    <row r="254" spans="1:17" x14ac:dyDescent="0.25">
      <c r="A254" t="s">
        <v>56</v>
      </c>
      <c r="B254" t="str">
        <f t="shared" si="18"/>
        <v>P-253</v>
      </c>
      <c r="C254" t="s">
        <v>7</v>
      </c>
      <c r="D254">
        <v>3</v>
      </c>
      <c r="E254">
        <v>3</v>
      </c>
      <c r="F254">
        <v>60000</v>
      </c>
      <c r="G254" t="s">
        <v>10</v>
      </c>
      <c r="H254" t="s">
        <v>9</v>
      </c>
      <c r="I254" t="s">
        <v>9</v>
      </c>
      <c r="J254" t="s">
        <v>9</v>
      </c>
      <c r="K254" t="s">
        <v>9</v>
      </c>
      <c r="L254" t="s">
        <v>9</v>
      </c>
      <c r="M254" t="str">
        <f t="shared" si="19"/>
        <v>No</v>
      </c>
      <c r="N254" t="str">
        <f t="shared" si="20"/>
        <v>Yes</v>
      </c>
      <c r="O254" t="str">
        <f t="shared" si="21"/>
        <v>Yes</v>
      </c>
      <c r="P254" t="str">
        <f t="shared" si="22"/>
        <v>Yes</v>
      </c>
      <c r="Q254" t="str">
        <f t="shared" si="23"/>
        <v>Yes</v>
      </c>
    </row>
    <row r="255" spans="1:17" x14ac:dyDescent="0.25">
      <c r="A255" t="s">
        <v>56</v>
      </c>
      <c r="B255" t="str">
        <f t="shared" si="18"/>
        <v>P-254</v>
      </c>
      <c r="C255" t="s">
        <v>7</v>
      </c>
      <c r="D255">
        <v>2</v>
      </c>
      <c r="E255">
        <v>2</v>
      </c>
      <c r="F255">
        <v>50000</v>
      </c>
      <c r="G255" t="s">
        <v>10</v>
      </c>
      <c r="H255" t="s">
        <v>9</v>
      </c>
      <c r="I255" t="s">
        <v>9</v>
      </c>
      <c r="J255" t="s">
        <v>9</v>
      </c>
      <c r="K255" t="s">
        <v>9</v>
      </c>
      <c r="L255" t="s">
        <v>9</v>
      </c>
      <c r="M255" t="str">
        <f t="shared" si="19"/>
        <v>No</v>
      </c>
      <c r="N255" t="str">
        <f t="shared" si="20"/>
        <v>Yes</v>
      </c>
      <c r="O255" t="str">
        <f t="shared" si="21"/>
        <v>Yes</v>
      </c>
      <c r="P255" t="str">
        <f t="shared" si="22"/>
        <v>Yes</v>
      </c>
      <c r="Q255" t="str">
        <f t="shared" si="23"/>
        <v>Yes</v>
      </c>
    </row>
    <row r="256" spans="1:17" x14ac:dyDescent="0.25">
      <c r="A256" t="s">
        <v>56</v>
      </c>
      <c r="B256" t="str">
        <f t="shared" si="18"/>
        <v>P-255</v>
      </c>
      <c r="C256" t="s">
        <v>7</v>
      </c>
      <c r="D256">
        <v>2</v>
      </c>
      <c r="E256">
        <v>2</v>
      </c>
      <c r="F256">
        <v>35000</v>
      </c>
      <c r="G256" t="s">
        <v>10</v>
      </c>
      <c r="H256" t="s">
        <v>9</v>
      </c>
      <c r="I256" t="s">
        <v>10</v>
      </c>
      <c r="J256" t="s">
        <v>10</v>
      </c>
      <c r="K256" t="s">
        <v>9</v>
      </c>
      <c r="L256" t="s">
        <v>9</v>
      </c>
      <c r="M256" t="str">
        <f t="shared" si="19"/>
        <v>No</v>
      </c>
      <c r="N256" t="str">
        <f t="shared" si="20"/>
        <v>Yes</v>
      </c>
      <c r="O256" t="str">
        <f t="shared" si="21"/>
        <v>No</v>
      </c>
      <c r="P256" t="str">
        <f t="shared" si="22"/>
        <v>No</v>
      </c>
      <c r="Q256" t="str">
        <f t="shared" si="23"/>
        <v>Yes</v>
      </c>
    </row>
    <row r="257" spans="1:17" x14ac:dyDescent="0.25">
      <c r="A257" t="s">
        <v>56</v>
      </c>
      <c r="B257" t="str">
        <f t="shared" si="18"/>
        <v>P-256</v>
      </c>
      <c r="C257" t="s">
        <v>40</v>
      </c>
      <c r="D257">
        <v>4</v>
      </c>
      <c r="E257">
        <v>4</v>
      </c>
      <c r="F257">
        <v>95000</v>
      </c>
      <c r="G257" t="s">
        <v>10</v>
      </c>
      <c r="H257" t="s">
        <v>9</v>
      </c>
      <c r="I257" t="s">
        <v>10</v>
      </c>
      <c r="J257" t="s">
        <v>10</v>
      </c>
      <c r="K257" t="s">
        <v>9</v>
      </c>
      <c r="L257" t="s">
        <v>9</v>
      </c>
      <c r="M257" t="str">
        <f t="shared" si="19"/>
        <v>No</v>
      </c>
      <c r="N257" t="str">
        <f t="shared" si="20"/>
        <v>Yes</v>
      </c>
      <c r="O257" t="str">
        <f t="shared" si="21"/>
        <v>No</v>
      </c>
      <c r="P257" t="str">
        <f t="shared" si="22"/>
        <v>No</v>
      </c>
      <c r="Q257" t="str">
        <f t="shared" si="23"/>
        <v>Yes</v>
      </c>
    </row>
    <row r="258" spans="1:17" x14ac:dyDescent="0.25">
      <c r="A258" t="s">
        <v>56</v>
      </c>
      <c r="B258" t="str">
        <f t="shared" ref="B258:B266" si="24">"P-"&amp;TEXT(ROW(A258)-1,"000")</f>
        <v>P-257</v>
      </c>
      <c r="C258" t="s">
        <v>40</v>
      </c>
      <c r="D258">
        <v>6</v>
      </c>
      <c r="E258">
        <v>6</v>
      </c>
      <c r="F258">
        <v>80000</v>
      </c>
      <c r="G258" t="s">
        <v>10</v>
      </c>
      <c r="H258" t="s">
        <v>9</v>
      </c>
      <c r="I258" t="s">
        <v>10</v>
      </c>
      <c r="J258" t="s">
        <v>10</v>
      </c>
      <c r="K258" t="s">
        <v>9</v>
      </c>
      <c r="L258" t="s">
        <v>9</v>
      </c>
      <c r="M258" t="str">
        <f t="shared" ref="M258:M266" si="25">PROPER(TRIM(G258))</f>
        <v>No</v>
      </c>
      <c r="N258" t="str">
        <f t="shared" ref="N258:N266" si="26">PROPER(TRIM(H258))</f>
        <v>Yes</v>
      </c>
      <c r="O258" t="str">
        <f t="shared" ref="O258:O266" si="27">PROPER(TRIM(I258))</f>
        <v>No</v>
      </c>
      <c r="P258" t="str">
        <f t="shared" ref="P258:P266" si="28">PROPER(TRIM(J258))</f>
        <v>No</v>
      </c>
      <c r="Q258" t="str">
        <f t="shared" ref="Q258:Q266" si="29">PROPER(TRIM(L258))</f>
        <v>Yes</v>
      </c>
    </row>
    <row r="259" spans="1:17" x14ac:dyDescent="0.25">
      <c r="A259" t="s">
        <v>56</v>
      </c>
      <c r="B259" t="str">
        <f t="shared" si="24"/>
        <v>P-258</v>
      </c>
      <c r="C259" t="s">
        <v>40</v>
      </c>
      <c r="D259">
        <v>5</v>
      </c>
      <c r="E259">
        <v>5</v>
      </c>
      <c r="F259">
        <v>75000</v>
      </c>
      <c r="G259" t="s">
        <v>10</v>
      </c>
      <c r="H259" t="s">
        <v>9</v>
      </c>
      <c r="I259" t="s">
        <v>10</v>
      </c>
      <c r="J259" t="s">
        <v>10</v>
      </c>
      <c r="K259" t="s">
        <v>9</v>
      </c>
      <c r="L259" t="s">
        <v>9</v>
      </c>
      <c r="M259" t="str">
        <f t="shared" si="25"/>
        <v>No</v>
      </c>
      <c r="N259" t="str">
        <f t="shared" si="26"/>
        <v>Yes</v>
      </c>
      <c r="O259" t="str">
        <f t="shared" si="27"/>
        <v>No</v>
      </c>
      <c r="P259" t="str">
        <f t="shared" si="28"/>
        <v>No</v>
      </c>
      <c r="Q259" t="str">
        <f t="shared" si="29"/>
        <v>Yes</v>
      </c>
    </row>
    <row r="260" spans="1:17" x14ac:dyDescent="0.25">
      <c r="A260" t="s">
        <v>56</v>
      </c>
      <c r="B260" t="str">
        <f t="shared" si="24"/>
        <v>P-259</v>
      </c>
      <c r="C260" t="s">
        <v>40</v>
      </c>
      <c r="D260">
        <v>5</v>
      </c>
      <c r="E260">
        <v>5</v>
      </c>
      <c r="F260">
        <v>115000</v>
      </c>
      <c r="G260" t="s">
        <v>10</v>
      </c>
      <c r="H260" t="s">
        <v>9</v>
      </c>
      <c r="I260" t="s">
        <v>9</v>
      </c>
      <c r="J260" t="s">
        <v>9</v>
      </c>
      <c r="K260" t="s">
        <v>9</v>
      </c>
      <c r="L260" t="s">
        <v>9</v>
      </c>
      <c r="M260" t="str">
        <f t="shared" si="25"/>
        <v>No</v>
      </c>
      <c r="N260" t="str">
        <f t="shared" si="26"/>
        <v>Yes</v>
      </c>
      <c r="O260" t="str">
        <f t="shared" si="27"/>
        <v>Yes</v>
      </c>
      <c r="P260" t="str">
        <f t="shared" si="28"/>
        <v>Yes</v>
      </c>
      <c r="Q260" t="str">
        <f t="shared" si="29"/>
        <v>Yes</v>
      </c>
    </row>
    <row r="261" spans="1:17" x14ac:dyDescent="0.25">
      <c r="A261" t="s">
        <v>56</v>
      </c>
      <c r="B261" t="str">
        <f t="shared" si="24"/>
        <v>P-260</v>
      </c>
      <c r="C261" t="s">
        <v>7</v>
      </c>
      <c r="D261">
        <v>2</v>
      </c>
      <c r="E261">
        <v>2</v>
      </c>
      <c r="F261">
        <v>80000</v>
      </c>
      <c r="G261" t="s">
        <v>10</v>
      </c>
      <c r="H261" t="s">
        <v>9</v>
      </c>
      <c r="I261" t="s">
        <v>9</v>
      </c>
      <c r="J261" t="s">
        <v>9</v>
      </c>
      <c r="K261" t="s">
        <v>9</v>
      </c>
      <c r="L261" t="s">
        <v>9</v>
      </c>
      <c r="M261" t="str">
        <f t="shared" si="25"/>
        <v>No</v>
      </c>
      <c r="N261" t="str">
        <f t="shared" si="26"/>
        <v>Yes</v>
      </c>
      <c r="O261" t="str">
        <f t="shared" si="27"/>
        <v>Yes</v>
      </c>
      <c r="P261" t="str">
        <f t="shared" si="28"/>
        <v>Yes</v>
      </c>
      <c r="Q261" t="str">
        <f t="shared" si="29"/>
        <v>Yes</v>
      </c>
    </row>
    <row r="262" spans="1:17" x14ac:dyDescent="0.25">
      <c r="A262" t="s">
        <v>35</v>
      </c>
      <c r="B262" t="str">
        <f t="shared" si="24"/>
        <v>P-261</v>
      </c>
      <c r="C262" t="s">
        <v>7</v>
      </c>
      <c r="D262">
        <v>1</v>
      </c>
      <c r="E262">
        <v>1</v>
      </c>
      <c r="F262">
        <v>65000</v>
      </c>
      <c r="G262" t="s">
        <v>10</v>
      </c>
      <c r="H262" t="s">
        <v>9</v>
      </c>
      <c r="I262" t="s">
        <v>9</v>
      </c>
      <c r="J262" t="s">
        <v>9</v>
      </c>
      <c r="K262" t="s">
        <v>9</v>
      </c>
      <c r="L262" t="s">
        <v>9</v>
      </c>
      <c r="M262" t="str">
        <f t="shared" si="25"/>
        <v>No</v>
      </c>
      <c r="N262" t="str">
        <f t="shared" si="26"/>
        <v>Yes</v>
      </c>
      <c r="O262" t="str">
        <f t="shared" si="27"/>
        <v>Yes</v>
      </c>
      <c r="P262" t="str">
        <f t="shared" si="28"/>
        <v>Yes</v>
      </c>
      <c r="Q262" t="str">
        <f t="shared" si="29"/>
        <v>Yes</v>
      </c>
    </row>
    <row r="263" spans="1:17" x14ac:dyDescent="0.25">
      <c r="A263" t="s">
        <v>35</v>
      </c>
      <c r="B263" t="str">
        <f t="shared" si="24"/>
        <v>P-262</v>
      </c>
      <c r="C263" t="s">
        <v>7</v>
      </c>
      <c r="D263">
        <v>3</v>
      </c>
      <c r="E263">
        <v>3</v>
      </c>
      <c r="F263">
        <v>100000</v>
      </c>
      <c r="G263" t="s">
        <v>10</v>
      </c>
      <c r="H263" t="s">
        <v>9</v>
      </c>
      <c r="I263" t="s">
        <v>9</v>
      </c>
      <c r="J263" t="s">
        <v>9</v>
      </c>
      <c r="K263" t="s">
        <v>9</v>
      </c>
      <c r="L263" t="s">
        <v>9</v>
      </c>
      <c r="M263" t="str">
        <f t="shared" si="25"/>
        <v>No</v>
      </c>
      <c r="N263" t="str">
        <f t="shared" si="26"/>
        <v>Yes</v>
      </c>
      <c r="O263" t="str">
        <f t="shared" si="27"/>
        <v>Yes</v>
      </c>
      <c r="P263" t="str">
        <f t="shared" si="28"/>
        <v>Yes</v>
      </c>
      <c r="Q263" t="str">
        <f t="shared" si="29"/>
        <v>Yes</v>
      </c>
    </row>
    <row r="264" spans="1:17" x14ac:dyDescent="0.25">
      <c r="A264" t="s">
        <v>35</v>
      </c>
      <c r="B264" t="str">
        <f t="shared" si="24"/>
        <v>P-263</v>
      </c>
      <c r="C264" t="s">
        <v>40</v>
      </c>
      <c r="D264">
        <v>4</v>
      </c>
      <c r="E264">
        <v>4</v>
      </c>
      <c r="F264">
        <v>150000</v>
      </c>
      <c r="G264" t="s">
        <v>10</v>
      </c>
      <c r="H264" t="s">
        <v>9</v>
      </c>
      <c r="I264" t="s">
        <v>10</v>
      </c>
      <c r="J264" t="s">
        <v>10</v>
      </c>
      <c r="K264" t="s">
        <v>9</v>
      </c>
      <c r="L264" t="s">
        <v>9</v>
      </c>
      <c r="M264" t="str">
        <f t="shared" si="25"/>
        <v>No</v>
      </c>
      <c r="N264" t="str">
        <f t="shared" si="26"/>
        <v>Yes</v>
      </c>
      <c r="O264" t="str">
        <f t="shared" si="27"/>
        <v>No</v>
      </c>
      <c r="P264" t="str">
        <f t="shared" si="28"/>
        <v>No</v>
      </c>
      <c r="Q264" t="str">
        <f t="shared" si="29"/>
        <v>Yes</v>
      </c>
    </row>
    <row r="265" spans="1:17" x14ac:dyDescent="0.25">
      <c r="A265" t="s">
        <v>35</v>
      </c>
      <c r="B265" t="str">
        <f t="shared" si="24"/>
        <v>P-264</v>
      </c>
      <c r="C265" t="s">
        <v>40</v>
      </c>
      <c r="D265">
        <v>4</v>
      </c>
      <c r="E265">
        <v>4</v>
      </c>
      <c r="F265">
        <v>150000</v>
      </c>
      <c r="G265" t="s">
        <v>10</v>
      </c>
      <c r="H265" t="s">
        <v>9</v>
      </c>
      <c r="I265" t="s">
        <v>10</v>
      </c>
      <c r="J265" t="s">
        <v>9</v>
      </c>
      <c r="K265" t="s">
        <v>9</v>
      </c>
      <c r="L265" t="s">
        <v>9</v>
      </c>
      <c r="M265" t="str">
        <f t="shared" si="25"/>
        <v>No</v>
      </c>
      <c r="N265" t="str">
        <f t="shared" si="26"/>
        <v>Yes</v>
      </c>
      <c r="O265" t="str">
        <f t="shared" si="27"/>
        <v>No</v>
      </c>
      <c r="P265" t="str">
        <f t="shared" si="28"/>
        <v>Yes</v>
      </c>
      <c r="Q265" t="str">
        <f t="shared" si="29"/>
        <v>Yes</v>
      </c>
    </row>
    <row r="266" spans="1:17" x14ac:dyDescent="0.25">
      <c r="A266" t="s">
        <v>35</v>
      </c>
      <c r="B266" t="str">
        <f t="shared" si="24"/>
        <v>P-265</v>
      </c>
      <c r="C266" t="s">
        <v>24</v>
      </c>
      <c r="D266">
        <v>0</v>
      </c>
      <c r="E266">
        <v>1</v>
      </c>
      <c r="F266">
        <v>35000</v>
      </c>
      <c r="G266" t="s">
        <v>10</v>
      </c>
      <c r="H266" t="s">
        <v>9</v>
      </c>
      <c r="I266" t="s">
        <v>10</v>
      </c>
      <c r="J266" t="s">
        <v>10</v>
      </c>
      <c r="K266" t="s">
        <v>9</v>
      </c>
      <c r="L266" t="s">
        <v>9</v>
      </c>
      <c r="M266" t="str">
        <f t="shared" si="25"/>
        <v>No</v>
      </c>
      <c r="N266" t="str">
        <f t="shared" si="26"/>
        <v>Yes</v>
      </c>
      <c r="O266" t="str">
        <f t="shared" si="27"/>
        <v>No</v>
      </c>
      <c r="P266" t="str">
        <f t="shared" si="28"/>
        <v>No</v>
      </c>
      <c r="Q266" t="str">
        <f t="shared" si="29"/>
        <v>Yes</v>
      </c>
    </row>
  </sheetData>
  <phoneticPr fontId="1" type="noConversion"/>
  <dataValidations count="6">
    <dataValidation type="list" allowBlank="1" showInputMessage="1" showErrorMessage="1" errorTitle="Invalid Entry" error="Please select a valid option from tge list" sqref="G1:G1048576" xr:uid="{3D4BDD1E-22FF-457A-A7CC-34666D35EF5C}">
      <formula1>"Yes,No"</formula1>
    </dataValidation>
    <dataValidation type="list" allowBlank="1" showInputMessage="1" showErrorMessage="1" errorTitle="Invalid Input" error="Please select a valid option from the list" sqref="H1:H1048576 J1:J1048576" xr:uid="{6AF1D9ED-E14A-4DCD-85B0-7AC697BCB156}">
      <formula1>"Yes,No"</formula1>
    </dataValidation>
    <dataValidation type="list" allowBlank="1" showInputMessage="1" showErrorMessage="1" errorTitle="Invalid Input" error="Please select an option from the list" sqref="I1:I1048576" xr:uid="{3229F63B-DDE8-474C-9438-79BEA0316A19}">
      <formula1>"Yes,No"</formula1>
    </dataValidation>
    <dataValidation type="list" allowBlank="1" showInputMessage="1" showErrorMessage="1" errorTitle="Inalid Input" error="Please select a valid option from the list" sqref="K1:K1048576" xr:uid="{715D804B-9B14-4084-85A4-34FDC4063AF9}">
      <formula1>"Yes,No"</formula1>
    </dataValidation>
    <dataValidation allowBlank="1" showInputMessage="1" showErrorMessage="1" errorTitle="Invalid Input" error="Please select a valid option from the list" sqref="Q1:Q1048576" xr:uid="{952D7B3D-3EC4-427C-8DB5-CE9C20ECBD8E}"/>
    <dataValidation type="list" allowBlank="1" showInputMessage="1" showErrorMessage="1" errorTitle="Invalid Input" error="Please select a valid option from the list" sqref="C1:C1048576" xr:uid="{29F39E15-B033-4C20-AC4A-3B4A846AB660}">
      <formula1>"Apartment,House,Townhouse,Studio"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4BDE4-79AA-4770-A970-1AFB76D63966}">
  <dimension ref="A3:K29"/>
  <sheetViews>
    <sheetView zoomScale="80" zoomScaleNormal="80" workbookViewId="0">
      <selection activeCell="F34" sqref="F34"/>
    </sheetView>
  </sheetViews>
  <sheetFormatPr defaultRowHeight="15.75" x14ac:dyDescent="0.25"/>
  <cols>
    <col min="1" max="1" width="14.140625" style="2" bestFit="1" customWidth="1"/>
    <col min="2" max="2" width="15.28515625" style="2" bestFit="1" customWidth="1"/>
    <col min="3" max="3" width="20" style="2" bestFit="1" customWidth="1"/>
    <col min="4" max="4" width="10.7109375" style="2" customWidth="1"/>
    <col min="5" max="5" width="18.7109375" style="2" bestFit="1" customWidth="1"/>
    <col min="6" max="6" width="19.28515625" style="2" bestFit="1" customWidth="1"/>
    <col min="7" max="8" width="13.42578125" style="2" bestFit="1" customWidth="1"/>
    <col min="9" max="9" width="18.7109375" style="2" bestFit="1" customWidth="1"/>
    <col min="10" max="10" width="15.28515625" style="2" bestFit="1" customWidth="1"/>
    <col min="11" max="12" width="13.42578125" style="2" bestFit="1" customWidth="1"/>
    <col min="13" max="13" width="21.7109375" style="2" bestFit="1" customWidth="1"/>
    <col min="14" max="15" width="13.42578125" style="2" bestFit="1" customWidth="1"/>
    <col min="16" max="16" width="24.7109375" style="2" bestFit="1" customWidth="1"/>
    <col min="17" max="17" width="13.42578125" style="2" bestFit="1" customWidth="1"/>
    <col min="18" max="18" width="20.85546875" style="2" bestFit="1" customWidth="1"/>
    <col min="19" max="19" width="20" style="2" bestFit="1" customWidth="1"/>
    <col min="20" max="16384" width="9.140625" style="2"/>
  </cols>
  <sheetData>
    <row r="3" spans="1:11" x14ac:dyDescent="0.25">
      <c r="A3" s="1" t="s">
        <v>0</v>
      </c>
      <c r="B3" s="2" t="s">
        <v>48</v>
      </c>
      <c r="E3" s="1" t="s">
        <v>36</v>
      </c>
      <c r="F3" s="2" t="s">
        <v>48</v>
      </c>
      <c r="I3" s="1" t="s">
        <v>36</v>
      </c>
      <c r="J3" s="2" t="s">
        <v>49</v>
      </c>
    </row>
    <row r="4" spans="1:11" x14ac:dyDescent="0.25">
      <c r="A4" s="2" t="s">
        <v>17</v>
      </c>
      <c r="B4" s="2">
        <v>25</v>
      </c>
      <c r="E4" s="2" t="s">
        <v>7</v>
      </c>
      <c r="F4" s="2">
        <v>194</v>
      </c>
      <c r="I4" s="2" t="s">
        <v>7</v>
      </c>
      <c r="J4" s="3">
        <v>132868.68556701031</v>
      </c>
    </row>
    <row r="5" spans="1:11" x14ac:dyDescent="0.25">
      <c r="A5" s="2" t="s">
        <v>33</v>
      </c>
      <c r="B5" s="2">
        <v>8</v>
      </c>
      <c r="E5" s="2" t="s">
        <v>40</v>
      </c>
      <c r="F5" s="2">
        <v>44</v>
      </c>
      <c r="I5" s="2" t="s">
        <v>40</v>
      </c>
      <c r="J5" s="3">
        <v>349012.5</v>
      </c>
    </row>
    <row r="6" spans="1:11" x14ac:dyDescent="0.25">
      <c r="A6" s="2" t="s">
        <v>26</v>
      </c>
      <c r="B6" s="2">
        <v>21</v>
      </c>
      <c r="E6" s="2" t="s">
        <v>24</v>
      </c>
      <c r="F6" s="2">
        <v>8</v>
      </c>
      <c r="I6" s="2" t="s">
        <v>24</v>
      </c>
      <c r="J6" s="3">
        <v>68125</v>
      </c>
    </row>
    <row r="7" spans="1:11" x14ac:dyDescent="0.25">
      <c r="A7" s="2" t="s">
        <v>13</v>
      </c>
      <c r="B7" s="2">
        <v>25</v>
      </c>
      <c r="E7" s="2" t="s">
        <v>14</v>
      </c>
      <c r="F7" s="2">
        <v>19</v>
      </c>
      <c r="I7" s="2" t="s">
        <v>14</v>
      </c>
      <c r="J7" s="3">
        <v>308078.94736842107</v>
      </c>
    </row>
    <row r="8" spans="1:11" x14ac:dyDescent="0.25">
      <c r="A8" s="2" t="s">
        <v>16</v>
      </c>
      <c r="B8" s="2">
        <v>25</v>
      </c>
    </row>
    <row r="9" spans="1:11" x14ac:dyDescent="0.25">
      <c r="A9" s="2" t="s">
        <v>29</v>
      </c>
      <c r="B9" s="2">
        <v>25</v>
      </c>
    </row>
    <row r="10" spans="1:11" x14ac:dyDescent="0.25">
      <c r="A10" s="2" t="s">
        <v>25</v>
      </c>
      <c r="B10" s="2">
        <v>18</v>
      </c>
    </row>
    <row r="11" spans="1:11" x14ac:dyDescent="0.25">
      <c r="A11" s="2" t="s">
        <v>30</v>
      </c>
      <c r="B11" s="2">
        <v>25</v>
      </c>
      <c r="E11" s="1" t="s">
        <v>45</v>
      </c>
      <c r="F11" s="1" t="s">
        <v>3</v>
      </c>
      <c r="I11" s="1" t="s">
        <v>49</v>
      </c>
      <c r="J11" s="1" t="s">
        <v>5</v>
      </c>
    </row>
    <row r="12" spans="1:11" x14ac:dyDescent="0.25">
      <c r="A12" s="2" t="s">
        <v>35</v>
      </c>
      <c r="B12" s="2">
        <v>5</v>
      </c>
      <c r="E12" s="1" t="s">
        <v>36</v>
      </c>
      <c r="F12" s="2" t="s">
        <v>10</v>
      </c>
      <c r="G12" s="2" t="s">
        <v>9</v>
      </c>
      <c r="I12" s="1" t="s">
        <v>36</v>
      </c>
      <c r="J12" s="2" t="s">
        <v>10</v>
      </c>
      <c r="K12" s="2" t="s">
        <v>9</v>
      </c>
    </row>
    <row r="13" spans="1:11" x14ac:dyDescent="0.25">
      <c r="A13" s="2" t="s">
        <v>34</v>
      </c>
      <c r="B13" s="2">
        <v>8</v>
      </c>
      <c r="E13" s="2" t="s">
        <v>7</v>
      </c>
      <c r="F13" s="3">
        <v>109575</v>
      </c>
      <c r="G13" s="3">
        <v>182461.69354838709</v>
      </c>
      <c r="I13" s="2" t="s">
        <v>7</v>
      </c>
      <c r="J13" s="3">
        <v>101971.29629629629</v>
      </c>
      <c r="K13" s="3">
        <v>144786.25</v>
      </c>
    </row>
    <row r="14" spans="1:11" x14ac:dyDescent="0.25">
      <c r="A14" s="2" t="s">
        <v>18</v>
      </c>
      <c r="B14" s="2">
        <v>21</v>
      </c>
      <c r="E14" s="2" t="s">
        <v>40</v>
      </c>
      <c r="F14" s="3">
        <v>332084.52380952379</v>
      </c>
      <c r="G14" s="3">
        <v>704500</v>
      </c>
      <c r="I14" s="2" t="s">
        <v>40</v>
      </c>
      <c r="J14" s="3">
        <v>319142.30769230769</v>
      </c>
      <c r="K14" s="3">
        <v>582000</v>
      </c>
    </row>
    <row r="15" spans="1:11" x14ac:dyDescent="0.25">
      <c r="A15" s="2" t="s">
        <v>56</v>
      </c>
      <c r="B15" s="2">
        <v>9</v>
      </c>
      <c r="E15" s="2" t="s">
        <v>24</v>
      </c>
      <c r="F15" s="3">
        <v>48333.333333333336</v>
      </c>
      <c r="G15" s="3">
        <v>80000</v>
      </c>
      <c r="I15" s="2" t="s">
        <v>24</v>
      </c>
      <c r="J15" s="3">
        <v>57500</v>
      </c>
      <c r="K15" s="3">
        <v>78750</v>
      </c>
    </row>
    <row r="16" spans="1:11" x14ac:dyDescent="0.25">
      <c r="A16" s="2" t="s">
        <v>27</v>
      </c>
      <c r="B16" s="2">
        <v>17</v>
      </c>
      <c r="E16" s="2" t="s">
        <v>14</v>
      </c>
      <c r="F16" s="3">
        <v>308527.77777777775</v>
      </c>
      <c r="G16" s="3">
        <v>300000</v>
      </c>
      <c r="I16" s="2" t="s">
        <v>14</v>
      </c>
      <c r="J16" s="3">
        <v>277307.69230769231</v>
      </c>
      <c r="K16" s="3">
        <v>374750</v>
      </c>
    </row>
    <row r="17" spans="1:11" x14ac:dyDescent="0.25">
      <c r="A17" s="2" t="s">
        <v>32</v>
      </c>
      <c r="B17" s="2">
        <v>25</v>
      </c>
    </row>
    <row r="18" spans="1:11" x14ac:dyDescent="0.25">
      <c r="A18" s="2" t="s">
        <v>55</v>
      </c>
      <c r="B18" s="2">
        <v>8</v>
      </c>
    </row>
    <row r="19" spans="1:11" x14ac:dyDescent="0.25">
      <c r="A19" s="2" t="s">
        <v>44</v>
      </c>
      <c r="B19" s="2">
        <v>265</v>
      </c>
    </row>
    <row r="21" spans="1:11" x14ac:dyDescent="0.25">
      <c r="E21" s="1" t="s">
        <v>49</v>
      </c>
      <c r="F21" s="1" t="s">
        <v>6</v>
      </c>
      <c r="J21" s="5" t="s">
        <v>54</v>
      </c>
      <c r="K21" s="6"/>
    </row>
    <row r="22" spans="1:11" x14ac:dyDescent="0.25">
      <c r="A22" s="1" t="s">
        <v>1</v>
      </c>
      <c r="B22" s="2" t="s">
        <v>49</v>
      </c>
      <c r="C22"/>
      <c r="E22" s="1" t="s">
        <v>36</v>
      </c>
      <c r="F22" s="2" t="s">
        <v>10</v>
      </c>
      <c r="G22" s="2" t="s">
        <v>9</v>
      </c>
      <c r="J22" s="4" t="s">
        <v>50</v>
      </c>
      <c r="K22" s="4">
        <f>GETPIVOTDATA("Property_Type",$A$3)</f>
        <v>265</v>
      </c>
    </row>
    <row r="23" spans="1:11" x14ac:dyDescent="0.25">
      <c r="A23" s="2">
        <v>0</v>
      </c>
      <c r="B23" s="3">
        <v>71000</v>
      </c>
      <c r="C23"/>
      <c r="E23" s="2" t="s">
        <v>7</v>
      </c>
      <c r="F23" s="3">
        <v>118270.48192771085</v>
      </c>
      <c r="G23" s="3">
        <v>143784.45945945947</v>
      </c>
      <c r="J23" s="4" t="s">
        <v>51</v>
      </c>
      <c r="K23" s="4">
        <f>SUMPRODUCT(1/COUNTIF(Clean_Data!A2:A266,Clean_Data!A2:A266))</f>
        <v>14.99999999999994</v>
      </c>
    </row>
    <row r="24" spans="1:11" x14ac:dyDescent="0.25">
      <c r="A24" s="2">
        <v>1</v>
      </c>
      <c r="B24" s="3">
        <v>78735.526315789481</v>
      </c>
      <c r="C24"/>
      <c r="E24" s="2" t="s">
        <v>40</v>
      </c>
      <c r="F24" s="3">
        <v>312104.4117647059</v>
      </c>
      <c r="G24" s="3">
        <v>474500</v>
      </c>
      <c r="J24" s="4" t="s">
        <v>52</v>
      </c>
      <c r="K24" s="4" t="str">
        <f>INDEX(E4:E7,MATCH(MAX(F4:F7),F4:F7,0))</f>
        <v>Apartment</v>
      </c>
    </row>
    <row r="25" spans="1:11" x14ac:dyDescent="0.25">
      <c r="A25" s="2">
        <v>2</v>
      </c>
      <c r="B25" s="3">
        <v>118363.98809523809</v>
      </c>
      <c r="C25"/>
      <c r="E25" s="2" t="s">
        <v>24</v>
      </c>
      <c r="F25" s="3">
        <v>62500</v>
      </c>
      <c r="G25" s="3">
        <v>85000</v>
      </c>
      <c r="J25" s="4" t="s">
        <v>53</v>
      </c>
      <c r="K25" s="4">
        <f>COUNTA(E4:E7)</f>
        <v>4</v>
      </c>
    </row>
    <row r="26" spans="1:11" x14ac:dyDescent="0.25">
      <c r="A26" s="2">
        <v>3</v>
      </c>
      <c r="B26" s="3">
        <v>160582.08955223882</v>
      </c>
      <c r="C26"/>
      <c r="E26" s="2" t="s">
        <v>14</v>
      </c>
      <c r="F26" s="3">
        <v>271250</v>
      </c>
      <c r="G26" s="3">
        <v>371214.28571428574</v>
      </c>
    </row>
    <row r="27" spans="1:11" x14ac:dyDescent="0.25">
      <c r="A27" s="2">
        <v>4</v>
      </c>
      <c r="B27" s="3">
        <v>263705.12820512819</v>
      </c>
      <c r="C27"/>
    </row>
    <row r="28" spans="1:11" x14ac:dyDescent="0.25">
      <c r="A28" s="2">
        <v>6</v>
      </c>
      <c r="B28" s="3">
        <v>368000</v>
      </c>
      <c r="C28"/>
    </row>
    <row r="29" spans="1:11" x14ac:dyDescent="0.25">
      <c r="A29" s="2">
        <v>5</v>
      </c>
      <c r="B29" s="3">
        <v>418805.35714285716</v>
      </c>
      <c r="C29"/>
    </row>
  </sheetData>
  <mergeCells count="1">
    <mergeCell ref="J21:K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B3BA5-8BDB-4B52-AF63-5E8874734CA0}">
  <dimension ref="A28:A37"/>
  <sheetViews>
    <sheetView showGridLines="0" tabSelected="1" zoomScale="80" zoomScaleNormal="80" workbookViewId="0">
      <selection activeCell="Q39" sqref="Q39"/>
    </sheetView>
  </sheetViews>
  <sheetFormatPr defaultRowHeight="15" x14ac:dyDescent="0.25"/>
  <cols>
    <col min="3" max="3" width="12.28515625" customWidth="1"/>
  </cols>
  <sheetData>
    <row r="28" customFormat="1" x14ac:dyDescent="0.25"/>
    <row r="37"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0B6FB-A34B-44C2-8023-2EDDB6EACE56}">
  <dimension ref="A1"/>
  <sheetViews>
    <sheetView showGridLines="0" topLeftCell="A34" zoomScale="80" zoomScaleNormal="80" workbookViewId="0">
      <selection activeCell="R57" sqref="R57"/>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Clean_Data</vt:lpstr>
      <vt:lpstr>Analysis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Valary Etemesi</dc:creator>
  <cp:lastModifiedBy>Valary Etemesi</cp:lastModifiedBy>
  <dcterms:created xsi:type="dcterms:W3CDTF">2026-06-17T08:08:54Z</dcterms:created>
  <dcterms:modified xsi:type="dcterms:W3CDTF">2026-06-22T06:00:33Z</dcterms:modified>
</cp:coreProperties>
</file>